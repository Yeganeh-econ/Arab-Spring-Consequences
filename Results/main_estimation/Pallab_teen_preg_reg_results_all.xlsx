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ghosh/Dropbox/D/Study/My_Papers/OU/Development/Political Participation and children health/arab_spring_women_outcomes_programs_stata/programs/stata/Pallab/Jan_2026/results/"/>
    </mc:Choice>
  </mc:AlternateContent>
  <xr:revisionPtr revIDLastSave="0" documentId="8_{49038B5C-28BA-6541-8429-E9F8F4DD3943}" xr6:coauthVersionLast="47" xr6:coauthVersionMax="47" xr10:uidLastSave="{00000000-0000-0000-0000-000000000000}"/>
  <bookViews>
    <workbookView xWindow="12200" yWindow="2200" windowWidth="28040" windowHeight="17440" xr2:uid="{60A75C7C-EC44-064E-A5E6-37E98B6CF469}"/>
  </bookViews>
  <sheets>
    <sheet name="teen_preg_reg_results_all" sheetId="1" r:id="rId1"/>
    <sheet name="Age_first_marriage" sheetId="2" r:id="rId2"/>
    <sheet name="Schooling" sheetId="3" r:id="rId3"/>
    <sheet name="Occup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4" l="1"/>
  <c r="I65" i="4"/>
  <c r="H65" i="4"/>
  <c r="G65" i="4"/>
  <c r="F65" i="4"/>
  <c r="I64" i="4"/>
  <c r="H64" i="4"/>
  <c r="G64" i="4"/>
  <c r="F64" i="4"/>
  <c r="I62" i="4"/>
  <c r="H62" i="4"/>
  <c r="G62" i="4"/>
  <c r="F62" i="4"/>
  <c r="I61" i="4"/>
  <c r="H61" i="4"/>
  <c r="G61" i="4"/>
  <c r="F61" i="4"/>
  <c r="I59" i="4"/>
  <c r="H59" i="4"/>
  <c r="G59" i="4"/>
  <c r="F59" i="4"/>
  <c r="I58" i="4"/>
  <c r="H58" i="4"/>
  <c r="G58" i="4"/>
  <c r="F58" i="4"/>
  <c r="I56" i="4"/>
  <c r="H56" i="4"/>
  <c r="G56" i="4"/>
  <c r="F56" i="4"/>
  <c r="I55" i="4"/>
  <c r="H55" i="4"/>
  <c r="G55" i="4"/>
  <c r="F55" i="4"/>
  <c r="I53" i="4"/>
  <c r="H53" i="4"/>
  <c r="G53" i="4"/>
  <c r="F53" i="4"/>
  <c r="I52" i="4"/>
  <c r="H52" i="4"/>
  <c r="G52" i="4"/>
  <c r="F52" i="4"/>
  <c r="I50" i="4"/>
  <c r="H50" i="4"/>
  <c r="G50" i="4"/>
  <c r="F50" i="4"/>
  <c r="I49" i="4"/>
  <c r="H49" i="4"/>
  <c r="G49" i="4"/>
  <c r="F49" i="4"/>
  <c r="I47" i="4"/>
  <c r="H47" i="4"/>
  <c r="G47" i="4"/>
  <c r="F47" i="4"/>
  <c r="I46" i="4"/>
  <c r="H46" i="4"/>
  <c r="G46" i="4"/>
  <c r="F46" i="4"/>
  <c r="I44" i="4"/>
  <c r="H44" i="4"/>
  <c r="G44" i="4"/>
  <c r="F44" i="4"/>
  <c r="I43" i="4"/>
  <c r="H43" i="4"/>
  <c r="G43" i="4"/>
  <c r="F43" i="4"/>
  <c r="I41" i="4"/>
  <c r="H41" i="4"/>
  <c r="G41" i="4"/>
  <c r="F41" i="4"/>
  <c r="I40" i="4"/>
  <c r="H40" i="4"/>
  <c r="G40" i="4"/>
  <c r="F40" i="4"/>
  <c r="I38" i="4"/>
  <c r="H38" i="4"/>
  <c r="G38" i="4"/>
  <c r="F38" i="4"/>
  <c r="I37" i="4"/>
  <c r="H37" i="4"/>
  <c r="G37" i="4"/>
  <c r="F37" i="4"/>
  <c r="I35" i="4"/>
  <c r="H35" i="4"/>
  <c r="G35" i="4"/>
  <c r="F35" i="4"/>
  <c r="I34" i="4"/>
  <c r="H34" i="4"/>
  <c r="G34" i="4"/>
  <c r="F34" i="4"/>
  <c r="I32" i="4"/>
  <c r="H32" i="4"/>
  <c r="G32" i="4"/>
  <c r="F32" i="4"/>
  <c r="I31" i="4"/>
  <c r="H31" i="4"/>
  <c r="G31" i="4"/>
  <c r="F31" i="4"/>
  <c r="I29" i="4"/>
  <c r="H29" i="4"/>
  <c r="G29" i="4"/>
  <c r="F29" i="4"/>
  <c r="I28" i="4"/>
  <c r="H28" i="4"/>
  <c r="G28" i="4"/>
  <c r="F28" i="4"/>
  <c r="I26" i="4"/>
  <c r="H26" i="4"/>
  <c r="G26" i="4"/>
  <c r="F26" i="4"/>
  <c r="I25" i="4"/>
  <c r="H25" i="4"/>
  <c r="G25" i="4"/>
  <c r="F25" i="4"/>
  <c r="I23" i="4"/>
  <c r="H23" i="4"/>
  <c r="G23" i="4"/>
  <c r="F23" i="4"/>
  <c r="I22" i="4"/>
  <c r="H22" i="4"/>
  <c r="G22" i="4"/>
  <c r="F22" i="4"/>
  <c r="I20" i="4"/>
  <c r="H20" i="4"/>
  <c r="G20" i="4"/>
  <c r="F20" i="4"/>
  <c r="I19" i="4"/>
  <c r="H19" i="4"/>
  <c r="G19" i="4"/>
  <c r="F19" i="4"/>
  <c r="I17" i="4"/>
  <c r="H17" i="4"/>
  <c r="G17" i="4"/>
  <c r="F17" i="4"/>
  <c r="I16" i="4"/>
  <c r="H16" i="4"/>
  <c r="G16" i="4"/>
  <c r="F16" i="4"/>
  <c r="I14" i="4"/>
  <c r="H14" i="4"/>
  <c r="G14" i="4"/>
  <c r="F14" i="4"/>
  <c r="I13" i="4"/>
  <c r="H13" i="4"/>
  <c r="G13" i="4"/>
  <c r="F13" i="4"/>
  <c r="I11" i="4"/>
  <c r="H11" i="4"/>
  <c r="G11" i="4"/>
  <c r="F11" i="4"/>
  <c r="I10" i="4"/>
  <c r="H10" i="4"/>
  <c r="G10" i="4"/>
  <c r="F10" i="4"/>
  <c r="I8" i="4"/>
  <c r="H8" i="4"/>
  <c r="G8" i="4"/>
  <c r="F8" i="4"/>
  <c r="I7" i="4"/>
  <c r="H7" i="4"/>
  <c r="G7" i="4"/>
  <c r="F7" i="4"/>
  <c r="I5" i="4"/>
  <c r="H5" i="4"/>
  <c r="G5" i="4"/>
  <c r="F5" i="4"/>
  <c r="I4" i="4"/>
  <c r="H4" i="4"/>
  <c r="G4" i="4"/>
  <c r="F4" i="4"/>
  <c r="A67" i="4"/>
  <c r="D65" i="4"/>
  <c r="C65" i="4"/>
  <c r="B65" i="4"/>
  <c r="A65" i="4"/>
  <c r="D64" i="4"/>
  <c r="C64" i="4"/>
  <c r="B64" i="4"/>
  <c r="A64" i="4"/>
  <c r="D62" i="4"/>
  <c r="C62" i="4"/>
  <c r="B62" i="4"/>
  <c r="A62" i="4"/>
  <c r="D61" i="4"/>
  <c r="C61" i="4"/>
  <c r="B61" i="4"/>
  <c r="A61" i="4"/>
  <c r="D59" i="4"/>
  <c r="C59" i="4"/>
  <c r="B59" i="4"/>
  <c r="A59" i="4"/>
  <c r="D58" i="4"/>
  <c r="C58" i="4"/>
  <c r="B58" i="4"/>
  <c r="A58" i="4"/>
  <c r="D56" i="4"/>
  <c r="C56" i="4"/>
  <c r="B56" i="4"/>
  <c r="A56" i="4"/>
  <c r="D55" i="4"/>
  <c r="C55" i="4"/>
  <c r="B55" i="4"/>
  <c r="A55" i="4"/>
  <c r="D53" i="4"/>
  <c r="C53" i="4"/>
  <c r="B53" i="4"/>
  <c r="A53" i="4"/>
  <c r="D52" i="4"/>
  <c r="C52" i="4"/>
  <c r="B52" i="4"/>
  <c r="A52" i="4"/>
  <c r="D50" i="4"/>
  <c r="C50" i="4"/>
  <c r="B50" i="4"/>
  <c r="A50" i="4"/>
  <c r="D49" i="4"/>
  <c r="C49" i="4"/>
  <c r="B49" i="4"/>
  <c r="A49" i="4"/>
  <c r="D47" i="4"/>
  <c r="C47" i="4"/>
  <c r="B47" i="4"/>
  <c r="A47" i="4"/>
  <c r="D46" i="4"/>
  <c r="C46" i="4"/>
  <c r="B46" i="4"/>
  <c r="A46" i="4"/>
  <c r="D44" i="4"/>
  <c r="C44" i="4"/>
  <c r="B44" i="4"/>
  <c r="A44" i="4"/>
  <c r="D43" i="4"/>
  <c r="C43" i="4"/>
  <c r="B43" i="4"/>
  <c r="A43" i="4"/>
  <c r="D41" i="4"/>
  <c r="C41" i="4"/>
  <c r="B41" i="4"/>
  <c r="A41" i="4"/>
  <c r="D40" i="4"/>
  <c r="C40" i="4"/>
  <c r="B40" i="4"/>
  <c r="A40" i="4"/>
  <c r="D38" i="4"/>
  <c r="C38" i="4"/>
  <c r="B38" i="4"/>
  <c r="A38" i="4"/>
  <c r="D37" i="4"/>
  <c r="C37" i="4"/>
  <c r="B37" i="4"/>
  <c r="A37" i="4"/>
  <c r="D35" i="4"/>
  <c r="C35" i="4"/>
  <c r="B35" i="4"/>
  <c r="A35" i="4"/>
  <c r="D34" i="4"/>
  <c r="C34" i="4"/>
  <c r="B34" i="4"/>
  <c r="A34" i="4"/>
  <c r="D32" i="4"/>
  <c r="C32" i="4"/>
  <c r="B32" i="4"/>
  <c r="A32" i="4"/>
  <c r="D31" i="4"/>
  <c r="C31" i="4"/>
  <c r="B31" i="4"/>
  <c r="A31" i="4"/>
  <c r="D29" i="4"/>
  <c r="C29" i="4"/>
  <c r="B29" i="4"/>
  <c r="A29" i="4"/>
  <c r="D28" i="4"/>
  <c r="C28" i="4"/>
  <c r="B28" i="4"/>
  <c r="A28" i="4"/>
  <c r="D26" i="4"/>
  <c r="C26" i="4"/>
  <c r="B26" i="4"/>
  <c r="A26" i="4"/>
  <c r="D25" i="4"/>
  <c r="C25" i="4"/>
  <c r="B25" i="4"/>
  <c r="A25" i="4"/>
  <c r="D23" i="4"/>
  <c r="C23" i="4"/>
  <c r="B23" i="4"/>
  <c r="A23" i="4"/>
  <c r="D22" i="4"/>
  <c r="C22" i="4"/>
  <c r="B22" i="4"/>
  <c r="A22" i="4"/>
  <c r="D20" i="4"/>
  <c r="C20" i="4"/>
  <c r="B20" i="4"/>
  <c r="A20" i="4"/>
  <c r="D19" i="4"/>
  <c r="C19" i="4"/>
  <c r="B19" i="4"/>
  <c r="A19" i="4"/>
  <c r="D17" i="4"/>
  <c r="C17" i="4"/>
  <c r="B17" i="4"/>
  <c r="A17" i="4"/>
  <c r="D16" i="4"/>
  <c r="C16" i="4"/>
  <c r="B16" i="4"/>
  <c r="A16" i="4"/>
  <c r="D14" i="4"/>
  <c r="C14" i="4"/>
  <c r="B14" i="4"/>
  <c r="A14" i="4"/>
  <c r="D13" i="4"/>
  <c r="C13" i="4"/>
  <c r="B13" i="4"/>
  <c r="A13" i="4"/>
  <c r="D11" i="4"/>
  <c r="C11" i="4"/>
  <c r="B11" i="4"/>
  <c r="A11" i="4"/>
  <c r="D10" i="4"/>
  <c r="C10" i="4"/>
  <c r="B10" i="4"/>
  <c r="A10" i="4"/>
  <c r="D8" i="4"/>
  <c r="C8" i="4"/>
  <c r="B8" i="4"/>
  <c r="A8" i="4"/>
  <c r="D7" i="4"/>
  <c r="C7" i="4"/>
  <c r="B7" i="4"/>
  <c r="A7" i="4"/>
  <c r="D5" i="4"/>
  <c r="C5" i="4"/>
  <c r="B5" i="4"/>
  <c r="A5" i="4"/>
  <c r="D4" i="4"/>
  <c r="C4" i="4"/>
  <c r="B4" i="4"/>
  <c r="A4" i="4"/>
  <c r="H46" i="3"/>
  <c r="L44" i="3"/>
  <c r="K44" i="3"/>
  <c r="J44" i="3"/>
  <c r="I44" i="3"/>
  <c r="H44" i="3"/>
  <c r="L43" i="3"/>
  <c r="K43" i="3"/>
  <c r="J43" i="3"/>
  <c r="I43" i="3"/>
  <c r="H43" i="3"/>
  <c r="L41" i="3"/>
  <c r="K41" i="3"/>
  <c r="J41" i="3"/>
  <c r="I41" i="3"/>
  <c r="H41" i="3"/>
  <c r="L40" i="3"/>
  <c r="K40" i="3"/>
  <c r="J40" i="3"/>
  <c r="I40" i="3"/>
  <c r="H40" i="3"/>
  <c r="L38" i="3"/>
  <c r="K38" i="3"/>
  <c r="J38" i="3"/>
  <c r="I38" i="3"/>
  <c r="H38" i="3"/>
  <c r="L37" i="3"/>
  <c r="K37" i="3"/>
  <c r="J37" i="3"/>
  <c r="I37" i="3"/>
  <c r="H37" i="3"/>
  <c r="L35" i="3"/>
  <c r="K35" i="3"/>
  <c r="J35" i="3"/>
  <c r="I35" i="3"/>
  <c r="H35" i="3"/>
  <c r="L34" i="3"/>
  <c r="K34" i="3"/>
  <c r="J34" i="3"/>
  <c r="I34" i="3"/>
  <c r="H34" i="3"/>
  <c r="L32" i="3"/>
  <c r="K32" i="3"/>
  <c r="J32" i="3"/>
  <c r="I32" i="3"/>
  <c r="H32" i="3"/>
  <c r="L31" i="3"/>
  <c r="K31" i="3"/>
  <c r="J31" i="3"/>
  <c r="I31" i="3"/>
  <c r="H31" i="3"/>
  <c r="L29" i="3"/>
  <c r="K29" i="3"/>
  <c r="J29" i="3"/>
  <c r="I29" i="3"/>
  <c r="H29" i="3"/>
  <c r="L28" i="3"/>
  <c r="K28" i="3"/>
  <c r="J28" i="3"/>
  <c r="I28" i="3"/>
  <c r="H28" i="3"/>
  <c r="L26" i="3"/>
  <c r="K26" i="3"/>
  <c r="J26" i="3"/>
  <c r="I26" i="3"/>
  <c r="H26" i="3"/>
  <c r="L25" i="3"/>
  <c r="K25" i="3"/>
  <c r="J25" i="3"/>
  <c r="I25" i="3"/>
  <c r="H25" i="3"/>
  <c r="L23" i="3"/>
  <c r="K23" i="3"/>
  <c r="J23" i="3"/>
  <c r="I23" i="3"/>
  <c r="H23" i="3"/>
  <c r="L22" i="3"/>
  <c r="K22" i="3"/>
  <c r="J22" i="3"/>
  <c r="I22" i="3"/>
  <c r="H22" i="3"/>
  <c r="L20" i="3"/>
  <c r="K20" i="3"/>
  <c r="J20" i="3"/>
  <c r="I20" i="3"/>
  <c r="H20" i="3"/>
  <c r="L19" i="3"/>
  <c r="K19" i="3"/>
  <c r="J19" i="3"/>
  <c r="I19" i="3"/>
  <c r="H19" i="3"/>
  <c r="L17" i="3"/>
  <c r="K17" i="3"/>
  <c r="J17" i="3"/>
  <c r="I17" i="3"/>
  <c r="H17" i="3"/>
  <c r="L16" i="3"/>
  <c r="K16" i="3"/>
  <c r="J16" i="3"/>
  <c r="I16" i="3"/>
  <c r="H16" i="3"/>
  <c r="L14" i="3"/>
  <c r="K14" i="3"/>
  <c r="J14" i="3"/>
  <c r="I14" i="3"/>
  <c r="H14" i="3"/>
  <c r="L13" i="3"/>
  <c r="K13" i="3"/>
  <c r="J13" i="3"/>
  <c r="I13" i="3"/>
  <c r="H13" i="3"/>
  <c r="L11" i="3"/>
  <c r="K11" i="3"/>
  <c r="J11" i="3"/>
  <c r="I11" i="3"/>
  <c r="H11" i="3"/>
  <c r="L10" i="3"/>
  <c r="K10" i="3"/>
  <c r="J10" i="3"/>
  <c r="I10" i="3"/>
  <c r="H10" i="3"/>
  <c r="L8" i="3"/>
  <c r="K8" i="3"/>
  <c r="J8" i="3"/>
  <c r="I8" i="3"/>
  <c r="H8" i="3"/>
  <c r="L7" i="3"/>
  <c r="K7" i="3"/>
  <c r="J7" i="3"/>
  <c r="I7" i="3"/>
  <c r="H7" i="3"/>
  <c r="L5" i="3"/>
  <c r="K5" i="3"/>
  <c r="J5" i="3"/>
  <c r="I5" i="3"/>
  <c r="H5" i="3"/>
  <c r="L4" i="3"/>
  <c r="K4" i="3"/>
  <c r="J4" i="3"/>
  <c r="I4" i="3"/>
  <c r="H4" i="3"/>
  <c r="A46" i="3"/>
  <c r="E44" i="3"/>
  <c r="D44" i="3"/>
  <c r="C44" i="3"/>
  <c r="B44" i="3"/>
  <c r="A44" i="3"/>
  <c r="E43" i="3"/>
  <c r="D43" i="3"/>
  <c r="C43" i="3"/>
  <c r="B43" i="3"/>
  <c r="A43" i="3"/>
  <c r="E41" i="3"/>
  <c r="D41" i="3"/>
  <c r="C41" i="3"/>
  <c r="B41" i="3"/>
  <c r="A41" i="3"/>
  <c r="E40" i="3"/>
  <c r="D40" i="3"/>
  <c r="C40" i="3"/>
  <c r="B40" i="3"/>
  <c r="A40" i="3"/>
  <c r="E38" i="3"/>
  <c r="D38" i="3"/>
  <c r="C38" i="3"/>
  <c r="B38" i="3"/>
  <c r="A38" i="3"/>
  <c r="E37" i="3"/>
  <c r="D37" i="3"/>
  <c r="C37" i="3"/>
  <c r="B37" i="3"/>
  <c r="A37" i="3"/>
  <c r="E35" i="3"/>
  <c r="D35" i="3"/>
  <c r="C35" i="3"/>
  <c r="B35" i="3"/>
  <c r="A35" i="3"/>
  <c r="E34" i="3"/>
  <c r="D34" i="3"/>
  <c r="C34" i="3"/>
  <c r="B34" i="3"/>
  <c r="A34" i="3"/>
  <c r="E32" i="3"/>
  <c r="D32" i="3"/>
  <c r="C32" i="3"/>
  <c r="B32" i="3"/>
  <c r="A32" i="3"/>
  <c r="E31" i="3"/>
  <c r="D31" i="3"/>
  <c r="C31" i="3"/>
  <c r="B31" i="3"/>
  <c r="A31" i="3"/>
  <c r="E29" i="3"/>
  <c r="D29" i="3"/>
  <c r="C29" i="3"/>
  <c r="B29" i="3"/>
  <c r="A29" i="3"/>
  <c r="E28" i="3"/>
  <c r="D28" i="3"/>
  <c r="C28" i="3"/>
  <c r="B28" i="3"/>
  <c r="A28" i="3"/>
  <c r="E26" i="3"/>
  <c r="D26" i="3"/>
  <c r="C26" i="3"/>
  <c r="B26" i="3"/>
  <c r="A26" i="3"/>
  <c r="E25" i="3"/>
  <c r="D25" i="3"/>
  <c r="C25" i="3"/>
  <c r="B25" i="3"/>
  <c r="A25" i="3"/>
  <c r="E23" i="3"/>
  <c r="D23" i="3"/>
  <c r="C23" i="3"/>
  <c r="B23" i="3"/>
  <c r="A23" i="3"/>
  <c r="E22" i="3"/>
  <c r="D22" i="3"/>
  <c r="C22" i="3"/>
  <c r="B22" i="3"/>
  <c r="A22" i="3"/>
  <c r="E20" i="3"/>
  <c r="D20" i="3"/>
  <c r="C20" i="3"/>
  <c r="B20" i="3"/>
  <c r="A20" i="3"/>
  <c r="E19" i="3"/>
  <c r="D19" i="3"/>
  <c r="C19" i="3"/>
  <c r="B19" i="3"/>
  <c r="A19" i="3"/>
  <c r="E17" i="3"/>
  <c r="D17" i="3"/>
  <c r="C17" i="3"/>
  <c r="B17" i="3"/>
  <c r="A17" i="3"/>
  <c r="E16" i="3"/>
  <c r="D16" i="3"/>
  <c r="C16" i="3"/>
  <c r="B16" i="3"/>
  <c r="A16" i="3"/>
  <c r="E14" i="3"/>
  <c r="D14" i="3"/>
  <c r="C14" i="3"/>
  <c r="B14" i="3"/>
  <c r="A14" i="3"/>
  <c r="E13" i="3"/>
  <c r="D13" i="3"/>
  <c r="C13" i="3"/>
  <c r="B13" i="3"/>
  <c r="A13" i="3"/>
  <c r="E11" i="3"/>
  <c r="D11" i="3"/>
  <c r="C11" i="3"/>
  <c r="B11" i="3"/>
  <c r="A11" i="3"/>
  <c r="E10" i="3"/>
  <c r="D10" i="3"/>
  <c r="C10" i="3"/>
  <c r="B10" i="3"/>
  <c r="A10" i="3"/>
  <c r="E8" i="3"/>
  <c r="D8" i="3"/>
  <c r="C8" i="3"/>
  <c r="B8" i="3"/>
  <c r="A8" i="3"/>
  <c r="E7" i="3"/>
  <c r="D7" i="3"/>
  <c r="C7" i="3"/>
  <c r="B7" i="3"/>
  <c r="A7" i="3"/>
  <c r="E5" i="3"/>
  <c r="D5" i="3"/>
  <c r="C5" i="3"/>
  <c r="B5" i="3"/>
  <c r="A5" i="3"/>
  <c r="E4" i="3"/>
  <c r="D4" i="3"/>
  <c r="C4" i="3"/>
  <c r="B4" i="3"/>
  <c r="A4" i="3"/>
  <c r="N3" i="2"/>
  <c r="I66" i="2"/>
  <c r="N64" i="2"/>
  <c r="M64" i="2"/>
  <c r="L64" i="2"/>
  <c r="K64" i="2"/>
  <c r="J64" i="2"/>
  <c r="I64" i="2"/>
  <c r="N63" i="2"/>
  <c r="M63" i="2"/>
  <c r="L63" i="2"/>
  <c r="K63" i="2"/>
  <c r="J63" i="2"/>
  <c r="I63" i="2"/>
  <c r="N61" i="2"/>
  <c r="M61" i="2"/>
  <c r="L61" i="2"/>
  <c r="K61" i="2"/>
  <c r="J61" i="2"/>
  <c r="I61" i="2"/>
  <c r="N60" i="2"/>
  <c r="M60" i="2"/>
  <c r="L60" i="2"/>
  <c r="K60" i="2"/>
  <c r="J60" i="2"/>
  <c r="I60" i="2"/>
  <c r="N58" i="2"/>
  <c r="M58" i="2"/>
  <c r="L58" i="2"/>
  <c r="K58" i="2"/>
  <c r="J58" i="2"/>
  <c r="I58" i="2"/>
  <c r="N57" i="2"/>
  <c r="M57" i="2"/>
  <c r="L57" i="2"/>
  <c r="K57" i="2"/>
  <c r="J57" i="2"/>
  <c r="I57" i="2"/>
  <c r="N55" i="2"/>
  <c r="M55" i="2"/>
  <c r="L55" i="2"/>
  <c r="K55" i="2"/>
  <c r="J55" i="2"/>
  <c r="I55" i="2"/>
  <c r="N54" i="2"/>
  <c r="M54" i="2"/>
  <c r="L54" i="2"/>
  <c r="K54" i="2"/>
  <c r="J54" i="2"/>
  <c r="I54" i="2"/>
  <c r="N52" i="2"/>
  <c r="M52" i="2"/>
  <c r="L52" i="2"/>
  <c r="K52" i="2"/>
  <c r="J52" i="2"/>
  <c r="I52" i="2"/>
  <c r="N51" i="2"/>
  <c r="M51" i="2"/>
  <c r="L51" i="2"/>
  <c r="K51" i="2"/>
  <c r="J51" i="2"/>
  <c r="I51" i="2"/>
  <c r="N49" i="2"/>
  <c r="M49" i="2"/>
  <c r="L49" i="2"/>
  <c r="K49" i="2"/>
  <c r="J49" i="2"/>
  <c r="I49" i="2"/>
  <c r="N48" i="2"/>
  <c r="M48" i="2"/>
  <c r="L48" i="2"/>
  <c r="K48" i="2"/>
  <c r="J48" i="2"/>
  <c r="I48" i="2"/>
  <c r="N46" i="2"/>
  <c r="M46" i="2"/>
  <c r="L46" i="2"/>
  <c r="K46" i="2"/>
  <c r="J46" i="2"/>
  <c r="I46" i="2"/>
  <c r="N45" i="2"/>
  <c r="M45" i="2"/>
  <c r="L45" i="2"/>
  <c r="K45" i="2"/>
  <c r="J45" i="2"/>
  <c r="I45" i="2"/>
  <c r="N43" i="2"/>
  <c r="M43" i="2"/>
  <c r="L43" i="2"/>
  <c r="K43" i="2"/>
  <c r="J43" i="2"/>
  <c r="I43" i="2"/>
  <c r="N42" i="2"/>
  <c r="M42" i="2"/>
  <c r="L42" i="2"/>
  <c r="K42" i="2"/>
  <c r="J42" i="2"/>
  <c r="I42" i="2"/>
  <c r="N40" i="2"/>
  <c r="M40" i="2"/>
  <c r="L40" i="2"/>
  <c r="K40" i="2"/>
  <c r="J40" i="2"/>
  <c r="I40" i="2"/>
  <c r="N39" i="2"/>
  <c r="M39" i="2"/>
  <c r="L39" i="2"/>
  <c r="K39" i="2"/>
  <c r="J39" i="2"/>
  <c r="I39" i="2"/>
  <c r="N37" i="2"/>
  <c r="M37" i="2"/>
  <c r="L37" i="2"/>
  <c r="K37" i="2"/>
  <c r="J37" i="2"/>
  <c r="I37" i="2"/>
  <c r="N36" i="2"/>
  <c r="M36" i="2"/>
  <c r="L36" i="2"/>
  <c r="K36" i="2"/>
  <c r="J36" i="2"/>
  <c r="I36" i="2"/>
  <c r="N34" i="2"/>
  <c r="M34" i="2"/>
  <c r="L34" i="2"/>
  <c r="K34" i="2"/>
  <c r="J34" i="2"/>
  <c r="I34" i="2"/>
  <c r="N33" i="2"/>
  <c r="M33" i="2"/>
  <c r="L33" i="2"/>
  <c r="K33" i="2"/>
  <c r="J33" i="2"/>
  <c r="I33" i="2"/>
  <c r="N31" i="2"/>
  <c r="M31" i="2"/>
  <c r="L31" i="2"/>
  <c r="K31" i="2"/>
  <c r="J31" i="2"/>
  <c r="I31" i="2"/>
  <c r="N30" i="2"/>
  <c r="M30" i="2"/>
  <c r="L30" i="2"/>
  <c r="K30" i="2"/>
  <c r="J30" i="2"/>
  <c r="I30" i="2"/>
  <c r="N28" i="2"/>
  <c r="M28" i="2"/>
  <c r="L28" i="2"/>
  <c r="K28" i="2"/>
  <c r="J28" i="2"/>
  <c r="I28" i="2"/>
  <c r="N27" i="2"/>
  <c r="M27" i="2"/>
  <c r="L27" i="2"/>
  <c r="K27" i="2"/>
  <c r="J27" i="2"/>
  <c r="I27" i="2"/>
  <c r="N25" i="2"/>
  <c r="M25" i="2"/>
  <c r="L25" i="2"/>
  <c r="K25" i="2"/>
  <c r="J25" i="2"/>
  <c r="I25" i="2"/>
  <c r="N24" i="2"/>
  <c r="M24" i="2"/>
  <c r="L24" i="2"/>
  <c r="K24" i="2"/>
  <c r="J24" i="2"/>
  <c r="I24" i="2"/>
  <c r="N22" i="2"/>
  <c r="M22" i="2"/>
  <c r="L22" i="2"/>
  <c r="K22" i="2"/>
  <c r="J22" i="2"/>
  <c r="I22" i="2"/>
  <c r="N21" i="2"/>
  <c r="M21" i="2"/>
  <c r="L21" i="2"/>
  <c r="K21" i="2"/>
  <c r="J21" i="2"/>
  <c r="I21" i="2"/>
  <c r="N19" i="2"/>
  <c r="M19" i="2"/>
  <c r="L19" i="2"/>
  <c r="K19" i="2"/>
  <c r="J19" i="2"/>
  <c r="I19" i="2"/>
  <c r="N18" i="2"/>
  <c r="M18" i="2"/>
  <c r="L18" i="2"/>
  <c r="K18" i="2"/>
  <c r="J18" i="2"/>
  <c r="I18" i="2"/>
  <c r="N16" i="2"/>
  <c r="M16" i="2"/>
  <c r="L16" i="2"/>
  <c r="K16" i="2"/>
  <c r="J16" i="2"/>
  <c r="I16" i="2"/>
  <c r="N15" i="2"/>
  <c r="M15" i="2"/>
  <c r="L15" i="2"/>
  <c r="K15" i="2"/>
  <c r="J15" i="2"/>
  <c r="I15" i="2"/>
  <c r="N13" i="2"/>
  <c r="M13" i="2"/>
  <c r="L13" i="2"/>
  <c r="K13" i="2"/>
  <c r="J13" i="2"/>
  <c r="I13" i="2"/>
  <c r="N12" i="2"/>
  <c r="M12" i="2"/>
  <c r="L12" i="2"/>
  <c r="K12" i="2"/>
  <c r="J12" i="2"/>
  <c r="I12" i="2"/>
  <c r="N10" i="2"/>
  <c r="M10" i="2"/>
  <c r="L10" i="2"/>
  <c r="K10" i="2"/>
  <c r="J10" i="2"/>
  <c r="I10" i="2"/>
  <c r="N9" i="2"/>
  <c r="M9" i="2"/>
  <c r="L9" i="2"/>
  <c r="K9" i="2"/>
  <c r="J9" i="2"/>
  <c r="I9" i="2"/>
  <c r="N7" i="2"/>
  <c r="M7" i="2"/>
  <c r="L7" i="2"/>
  <c r="K7" i="2"/>
  <c r="J7" i="2"/>
  <c r="I7" i="2"/>
  <c r="N6" i="2"/>
  <c r="M6" i="2"/>
  <c r="L6" i="2"/>
  <c r="K6" i="2"/>
  <c r="J6" i="2"/>
  <c r="I6" i="2"/>
  <c r="N4" i="2"/>
  <c r="M4" i="2"/>
  <c r="L4" i="2"/>
  <c r="K4" i="2"/>
  <c r="J4" i="2"/>
  <c r="I4" i="2"/>
  <c r="M3" i="2"/>
  <c r="L3" i="2"/>
  <c r="K3" i="2"/>
  <c r="J3" i="2"/>
  <c r="I3" i="2"/>
  <c r="A66" i="2"/>
  <c r="F64" i="2"/>
  <c r="E64" i="2"/>
  <c r="D64" i="2"/>
  <c r="C64" i="2"/>
  <c r="B64" i="2"/>
  <c r="A64" i="2"/>
  <c r="F63" i="2"/>
  <c r="E63" i="2"/>
  <c r="D63" i="2"/>
  <c r="C63" i="2"/>
  <c r="B63" i="2"/>
  <c r="A63" i="2"/>
  <c r="F61" i="2"/>
  <c r="E61" i="2"/>
  <c r="D61" i="2"/>
  <c r="C61" i="2"/>
  <c r="B61" i="2"/>
  <c r="A61" i="2"/>
  <c r="F60" i="2"/>
  <c r="E60" i="2"/>
  <c r="D60" i="2"/>
  <c r="C60" i="2"/>
  <c r="B60" i="2"/>
  <c r="A60" i="2"/>
  <c r="F58" i="2"/>
  <c r="E58" i="2"/>
  <c r="D58" i="2"/>
  <c r="C58" i="2"/>
  <c r="B58" i="2"/>
  <c r="A58" i="2"/>
  <c r="F57" i="2"/>
  <c r="E57" i="2"/>
  <c r="D57" i="2"/>
  <c r="C57" i="2"/>
  <c r="B57" i="2"/>
  <c r="A57" i="2"/>
  <c r="F55" i="2"/>
  <c r="E55" i="2"/>
  <c r="D55" i="2"/>
  <c r="C55" i="2"/>
  <c r="B55" i="2"/>
  <c r="A55" i="2"/>
  <c r="F54" i="2"/>
  <c r="E54" i="2"/>
  <c r="D54" i="2"/>
  <c r="C54" i="2"/>
  <c r="B54" i="2"/>
  <c r="A54" i="2"/>
  <c r="F52" i="2"/>
  <c r="E52" i="2"/>
  <c r="D52" i="2"/>
  <c r="C52" i="2"/>
  <c r="B52" i="2"/>
  <c r="A52" i="2"/>
  <c r="F51" i="2"/>
  <c r="E51" i="2"/>
  <c r="D51" i="2"/>
  <c r="C51" i="2"/>
  <c r="B51" i="2"/>
  <c r="A51" i="2"/>
  <c r="F49" i="2"/>
  <c r="E49" i="2"/>
  <c r="D49" i="2"/>
  <c r="C49" i="2"/>
  <c r="B49" i="2"/>
  <c r="A49" i="2"/>
  <c r="F48" i="2"/>
  <c r="E48" i="2"/>
  <c r="D48" i="2"/>
  <c r="C48" i="2"/>
  <c r="B48" i="2"/>
  <c r="A48" i="2"/>
  <c r="F46" i="2"/>
  <c r="E46" i="2"/>
  <c r="D46" i="2"/>
  <c r="C46" i="2"/>
  <c r="B46" i="2"/>
  <c r="A46" i="2"/>
  <c r="F45" i="2"/>
  <c r="E45" i="2"/>
  <c r="D45" i="2"/>
  <c r="C45" i="2"/>
  <c r="B45" i="2"/>
  <c r="A45" i="2"/>
  <c r="F43" i="2"/>
  <c r="E43" i="2"/>
  <c r="D43" i="2"/>
  <c r="C43" i="2"/>
  <c r="B43" i="2"/>
  <c r="A43" i="2"/>
  <c r="F42" i="2"/>
  <c r="E42" i="2"/>
  <c r="D42" i="2"/>
  <c r="C42" i="2"/>
  <c r="B42" i="2"/>
  <c r="A42" i="2"/>
  <c r="F40" i="2"/>
  <c r="E40" i="2"/>
  <c r="D40" i="2"/>
  <c r="C40" i="2"/>
  <c r="B40" i="2"/>
  <c r="A40" i="2"/>
  <c r="F39" i="2"/>
  <c r="E39" i="2"/>
  <c r="D39" i="2"/>
  <c r="C39" i="2"/>
  <c r="B39" i="2"/>
  <c r="A39" i="2"/>
  <c r="F37" i="2"/>
  <c r="E37" i="2"/>
  <c r="D37" i="2"/>
  <c r="C37" i="2"/>
  <c r="B37" i="2"/>
  <c r="A37" i="2"/>
  <c r="F36" i="2"/>
  <c r="E36" i="2"/>
  <c r="D36" i="2"/>
  <c r="C36" i="2"/>
  <c r="B36" i="2"/>
  <c r="A36" i="2"/>
  <c r="F34" i="2"/>
  <c r="E34" i="2"/>
  <c r="D34" i="2"/>
  <c r="C34" i="2"/>
  <c r="B34" i="2"/>
  <c r="A34" i="2"/>
  <c r="F33" i="2"/>
  <c r="E33" i="2"/>
  <c r="D33" i="2"/>
  <c r="C33" i="2"/>
  <c r="B33" i="2"/>
  <c r="A33" i="2"/>
  <c r="F31" i="2"/>
  <c r="E31" i="2"/>
  <c r="D31" i="2"/>
  <c r="C31" i="2"/>
  <c r="B31" i="2"/>
  <c r="A31" i="2"/>
  <c r="F30" i="2"/>
  <c r="E30" i="2"/>
  <c r="D30" i="2"/>
  <c r="C30" i="2"/>
  <c r="B30" i="2"/>
  <c r="A30" i="2"/>
  <c r="F28" i="2"/>
  <c r="E28" i="2"/>
  <c r="D28" i="2"/>
  <c r="C28" i="2"/>
  <c r="B28" i="2"/>
  <c r="A28" i="2"/>
  <c r="F27" i="2"/>
  <c r="E27" i="2"/>
  <c r="D27" i="2"/>
  <c r="C27" i="2"/>
  <c r="B27" i="2"/>
  <c r="A27" i="2"/>
  <c r="F25" i="2"/>
  <c r="E25" i="2"/>
  <c r="D25" i="2"/>
  <c r="C25" i="2"/>
  <c r="B25" i="2"/>
  <c r="A25" i="2"/>
  <c r="F24" i="2"/>
  <c r="E24" i="2"/>
  <c r="D24" i="2"/>
  <c r="C24" i="2"/>
  <c r="B24" i="2"/>
  <c r="A24" i="2"/>
  <c r="F22" i="2"/>
  <c r="E22" i="2"/>
  <c r="D22" i="2"/>
  <c r="C22" i="2"/>
  <c r="B22" i="2"/>
  <c r="A22" i="2"/>
  <c r="F21" i="2"/>
  <c r="E21" i="2"/>
  <c r="D21" i="2"/>
  <c r="C21" i="2"/>
  <c r="B21" i="2"/>
  <c r="A21" i="2"/>
  <c r="F19" i="2"/>
  <c r="E19" i="2"/>
  <c r="D19" i="2"/>
  <c r="C19" i="2"/>
  <c r="B19" i="2"/>
  <c r="A19" i="2"/>
  <c r="F18" i="2"/>
  <c r="E18" i="2"/>
  <c r="D18" i="2"/>
  <c r="C18" i="2"/>
  <c r="B18" i="2"/>
  <c r="A18" i="2"/>
  <c r="F16" i="2"/>
  <c r="E16" i="2"/>
  <c r="D16" i="2"/>
  <c r="C16" i="2"/>
  <c r="B16" i="2"/>
  <c r="A16" i="2"/>
  <c r="F15" i="2"/>
  <c r="E15" i="2"/>
  <c r="D15" i="2"/>
  <c r="C15" i="2"/>
  <c r="B15" i="2"/>
  <c r="A15" i="2"/>
  <c r="F13" i="2"/>
  <c r="E13" i="2"/>
  <c r="D13" i="2"/>
  <c r="C13" i="2"/>
  <c r="B13" i="2"/>
  <c r="A13" i="2"/>
  <c r="F12" i="2"/>
  <c r="E12" i="2"/>
  <c r="D12" i="2"/>
  <c r="C12" i="2"/>
  <c r="B12" i="2"/>
  <c r="A12" i="2"/>
  <c r="F10" i="2"/>
  <c r="E10" i="2"/>
  <c r="D10" i="2"/>
  <c r="C10" i="2"/>
  <c r="B10" i="2"/>
  <c r="A10" i="2"/>
  <c r="F9" i="2"/>
  <c r="E9" i="2"/>
  <c r="D9" i="2"/>
  <c r="C9" i="2"/>
  <c r="B9" i="2"/>
  <c r="A9" i="2"/>
  <c r="F7" i="2"/>
  <c r="E7" i="2"/>
  <c r="D7" i="2"/>
  <c r="C7" i="2"/>
  <c r="B7" i="2"/>
  <c r="A7" i="2"/>
  <c r="F6" i="2"/>
  <c r="E6" i="2"/>
  <c r="D6" i="2"/>
  <c r="C6" i="2"/>
  <c r="B6" i="2"/>
  <c r="A6" i="2"/>
  <c r="F4" i="2"/>
  <c r="E4" i="2"/>
  <c r="D4" i="2"/>
  <c r="C4" i="2"/>
  <c r="B4" i="2"/>
  <c r="A4" i="2"/>
  <c r="F3" i="2"/>
  <c r="E3" i="2"/>
  <c r="D3" i="2"/>
  <c r="C3" i="2"/>
  <c r="B3" i="2"/>
  <c r="A3" i="2"/>
  <c r="I66" i="1"/>
  <c r="N64" i="1"/>
  <c r="M64" i="1"/>
  <c r="L64" i="1"/>
  <c r="K64" i="1"/>
  <c r="J64" i="1"/>
  <c r="I64" i="1"/>
  <c r="N63" i="1"/>
  <c r="M63" i="1"/>
  <c r="L63" i="1"/>
  <c r="K63" i="1"/>
  <c r="J63" i="1"/>
  <c r="I63" i="1"/>
  <c r="N61" i="1"/>
  <c r="M61" i="1"/>
  <c r="L61" i="1"/>
  <c r="K61" i="1"/>
  <c r="J61" i="1"/>
  <c r="I61" i="1"/>
  <c r="N60" i="1"/>
  <c r="M60" i="1"/>
  <c r="L60" i="1"/>
  <c r="K60" i="1"/>
  <c r="J60" i="1"/>
  <c r="I60" i="1"/>
  <c r="N58" i="1"/>
  <c r="M58" i="1"/>
  <c r="L58" i="1"/>
  <c r="K58" i="1"/>
  <c r="J58" i="1"/>
  <c r="I58" i="1"/>
  <c r="N57" i="1"/>
  <c r="M57" i="1"/>
  <c r="L57" i="1"/>
  <c r="K57" i="1"/>
  <c r="J57" i="1"/>
  <c r="I57" i="1"/>
  <c r="N55" i="1"/>
  <c r="M55" i="1"/>
  <c r="L55" i="1"/>
  <c r="K55" i="1"/>
  <c r="J55" i="1"/>
  <c r="I55" i="1"/>
  <c r="N54" i="1"/>
  <c r="M54" i="1"/>
  <c r="L54" i="1"/>
  <c r="K54" i="1"/>
  <c r="J54" i="1"/>
  <c r="I54" i="1"/>
  <c r="N52" i="1"/>
  <c r="M52" i="1"/>
  <c r="L52" i="1"/>
  <c r="K52" i="1"/>
  <c r="J52" i="1"/>
  <c r="I52" i="1"/>
  <c r="N51" i="1"/>
  <c r="M51" i="1"/>
  <c r="L51" i="1"/>
  <c r="K51" i="1"/>
  <c r="J51" i="1"/>
  <c r="I51" i="1"/>
  <c r="N49" i="1"/>
  <c r="M49" i="1"/>
  <c r="L49" i="1"/>
  <c r="K49" i="1"/>
  <c r="J49" i="1"/>
  <c r="I49" i="1"/>
  <c r="N48" i="1"/>
  <c r="M48" i="1"/>
  <c r="L48" i="1"/>
  <c r="K48" i="1"/>
  <c r="J48" i="1"/>
  <c r="I48" i="1"/>
  <c r="N46" i="1"/>
  <c r="M46" i="1"/>
  <c r="L46" i="1"/>
  <c r="K46" i="1"/>
  <c r="J46" i="1"/>
  <c r="I46" i="1"/>
  <c r="N45" i="1"/>
  <c r="M45" i="1"/>
  <c r="L45" i="1"/>
  <c r="K45" i="1"/>
  <c r="J45" i="1"/>
  <c r="I45" i="1"/>
  <c r="N43" i="1"/>
  <c r="M43" i="1"/>
  <c r="L43" i="1"/>
  <c r="K43" i="1"/>
  <c r="J43" i="1"/>
  <c r="I43" i="1"/>
  <c r="N42" i="1"/>
  <c r="M42" i="1"/>
  <c r="L42" i="1"/>
  <c r="K42" i="1"/>
  <c r="J42" i="1"/>
  <c r="I42" i="1"/>
  <c r="N40" i="1"/>
  <c r="M40" i="1"/>
  <c r="L40" i="1"/>
  <c r="K40" i="1"/>
  <c r="J40" i="1"/>
  <c r="I40" i="1"/>
  <c r="N39" i="1"/>
  <c r="M39" i="1"/>
  <c r="L39" i="1"/>
  <c r="K39" i="1"/>
  <c r="J39" i="1"/>
  <c r="I39" i="1"/>
  <c r="N37" i="1"/>
  <c r="M37" i="1"/>
  <c r="L37" i="1"/>
  <c r="K37" i="1"/>
  <c r="J37" i="1"/>
  <c r="I37" i="1"/>
  <c r="N36" i="1"/>
  <c r="M36" i="1"/>
  <c r="L36" i="1"/>
  <c r="K36" i="1"/>
  <c r="J36" i="1"/>
  <c r="I36" i="1"/>
  <c r="N34" i="1"/>
  <c r="M34" i="1"/>
  <c r="L34" i="1"/>
  <c r="K34" i="1"/>
  <c r="J34" i="1"/>
  <c r="I34" i="1"/>
  <c r="N33" i="1"/>
  <c r="M33" i="1"/>
  <c r="L33" i="1"/>
  <c r="K33" i="1"/>
  <c r="J33" i="1"/>
  <c r="I33" i="1"/>
  <c r="N31" i="1"/>
  <c r="M31" i="1"/>
  <c r="L31" i="1"/>
  <c r="K31" i="1"/>
  <c r="J31" i="1"/>
  <c r="I31" i="1"/>
  <c r="N30" i="1"/>
  <c r="M30" i="1"/>
  <c r="L30" i="1"/>
  <c r="K30" i="1"/>
  <c r="J30" i="1"/>
  <c r="I30" i="1"/>
  <c r="N28" i="1"/>
  <c r="M28" i="1"/>
  <c r="L28" i="1"/>
  <c r="K28" i="1"/>
  <c r="J28" i="1"/>
  <c r="I28" i="1"/>
  <c r="N27" i="1"/>
  <c r="M27" i="1"/>
  <c r="L27" i="1"/>
  <c r="K27" i="1"/>
  <c r="J27" i="1"/>
  <c r="I27" i="1"/>
  <c r="N25" i="1"/>
  <c r="M25" i="1"/>
  <c r="L25" i="1"/>
  <c r="K25" i="1"/>
  <c r="J25" i="1"/>
  <c r="I25" i="1"/>
  <c r="N24" i="1"/>
  <c r="M24" i="1"/>
  <c r="L24" i="1"/>
  <c r="K24" i="1"/>
  <c r="J24" i="1"/>
  <c r="I24" i="1"/>
  <c r="N22" i="1"/>
  <c r="M22" i="1"/>
  <c r="L22" i="1"/>
  <c r="K22" i="1"/>
  <c r="J22" i="1"/>
  <c r="I22" i="1"/>
  <c r="N21" i="1"/>
  <c r="M21" i="1"/>
  <c r="L21" i="1"/>
  <c r="K21" i="1"/>
  <c r="J21" i="1"/>
  <c r="I21" i="1"/>
  <c r="N19" i="1"/>
  <c r="M19" i="1"/>
  <c r="L19" i="1"/>
  <c r="K19" i="1"/>
  <c r="J19" i="1"/>
  <c r="I19" i="1"/>
  <c r="N18" i="1"/>
  <c r="M18" i="1"/>
  <c r="L18" i="1"/>
  <c r="K18" i="1"/>
  <c r="J18" i="1"/>
  <c r="I18" i="1"/>
  <c r="N16" i="1"/>
  <c r="M16" i="1"/>
  <c r="L16" i="1"/>
  <c r="K16" i="1"/>
  <c r="J16" i="1"/>
  <c r="I16" i="1"/>
  <c r="N15" i="1"/>
  <c r="M15" i="1"/>
  <c r="L15" i="1"/>
  <c r="K15" i="1"/>
  <c r="J15" i="1"/>
  <c r="I15" i="1"/>
  <c r="N13" i="1"/>
  <c r="M13" i="1"/>
  <c r="L13" i="1"/>
  <c r="K13" i="1"/>
  <c r="J13" i="1"/>
  <c r="I13" i="1"/>
  <c r="N12" i="1"/>
  <c r="M12" i="1"/>
  <c r="L12" i="1"/>
  <c r="K12" i="1"/>
  <c r="J12" i="1"/>
  <c r="I12" i="1"/>
  <c r="N10" i="1"/>
  <c r="M10" i="1"/>
  <c r="L10" i="1"/>
  <c r="K10" i="1"/>
  <c r="J10" i="1"/>
  <c r="I10" i="1"/>
  <c r="N9" i="1"/>
  <c r="M9" i="1"/>
  <c r="L9" i="1"/>
  <c r="K9" i="1"/>
  <c r="J9" i="1"/>
  <c r="I9" i="1"/>
  <c r="N7" i="1"/>
  <c r="M7" i="1"/>
  <c r="L7" i="1"/>
  <c r="K7" i="1"/>
  <c r="J7" i="1"/>
  <c r="I7" i="1"/>
  <c r="N6" i="1"/>
  <c r="M6" i="1"/>
  <c r="L6" i="1"/>
  <c r="K6" i="1"/>
  <c r="J6" i="1"/>
  <c r="I6" i="1"/>
  <c r="N4" i="1"/>
  <c r="M4" i="1"/>
  <c r="L4" i="1"/>
  <c r="K4" i="1"/>
  <c r="J4" i="1"/>
  <c r="I4" i="1"/>
  <c r="N3" i="1"/>
  <c r="M3" i="1"/>
  <c r="L3" i="1"/>
  <c r="K3" i="1"/>
  <c r="J3" i="1"/>
  <c r="I3" i="1"/>
  <c r="A65" i="1"/>
  <c r="F63" i="1"/>
  <c r="E63" i="1"/>
  <c r="D63" i="1"/>
  <c r="C63" i="1"/>
  <c r="B63" i="1"/>
  <c r="A63" i="1"/>
  <c r="F62" i="1"/>
  <c r="E62" i="1"/>
  <c r="D62" i="1"/>
  <c r="C62" i="1"/>
  <c r="B62" i="1"/>
  <c r="A62" i="1"/>
  <c r="F60" i="1"/>
  <c r="E60" i="1"/>
  <c r="D60" i="1"/>
  <c r="C60" i="1"/>
  <c r="B60" i="1"/>
  <c r="A60" i="1"/>
  <c r="F59" i="1"/>
  <c r="E59" i="1"/>
  <c r="D59" i="1"/>
  <c r="C59" i="1"/>
  <c r="B59" i="1"/>
  <c r="A59" i="1"/>
  <c r="F57" i="1"/>
  <c r="E57" i="1"/>
  <c r="D57" i="1"/>
  <c r="C57" i="1"/>
  <c r="B57" i="1"/>
  <c r="A57" i="1"/>
  <c r="F56" i="1"/>
  <c r="E56" i="1"/>
  <c r="D56" i="1"/>
  <c r="C56" i="1"/>
  <c r="B56" i="1"/>
  <c r="A56" i="1"/>
  <c r="F54" i="1"/>
  <c r="E54" i="1"/>
  <c r="D54" i="1"/>
  <c r="C54" i="1"/>
  <c r="B54" i="1"/>
  <c r="A54" i="1"/>
  <c r="F53" i="1"/>
  <c r="E53" i="1"/>
  <c r="D53" i="1"/>
  <c r="C53" i="1"/>
  <c r="B53" i="1"/>
  <c r="A53" i="1"/>
  <c r="F51" i="1"/>
  <c r="E51" i="1"/>
  <c r="D51" i="1"/>
  <c r="C51" i="1"/>
  <c r="B51" i="1"/>
  <c r="A51" i="1"/>
  <c r="F50" i="1"/>
  <c r="E50" i="1"/>
  <c r="D50" i="1"/>
  <c r="C50" i="1"/>
  <c r="B50" i="1"/>
  <c r="A50" i="1"/>
  <c r="F48" i="1"/>
  <c r="E48" i="1"/>
  <c r="D48" i="1"/>
  <c r="C48" i="1"/>
  <c r="B48" i="1"/>
  <c r="A48" i="1"/>
  <c r="F47" i="1"/>
  <c r="E47" i="1"/>
  <c r="D47" i="1"/>
  <c r="C47" i="1"/>
  <c r="B47" i="1"/>
  <c r="A47" i="1"/>
  <c r="F45" i="1"/>
  <c r="E45" i="1"/>
  <c r="D45" i="1"/>
  <c r="C45" i="1"/>
  <c r="B45" i="1"/>
  <c r="A45" i="1"/>
  <c r="F44" i="1"/>
  <c r="E44" i="1"/>
  <c r="D44" i="1"/>
  <c r="C44" i="1"/>
  <c r="B44" i="1"/>
  <c r="A44" i="1"/>
  <c r="F42" i="1"/>
  <c r="E42" i="1"/>
  <c r="D42" i="1"/>
  <c r="C42" i="1"/>
  <c r="B42" i="1"/>
  <c r="A42" i="1"/>
  <c r="F41" i="1"/>
  <c r="E41" i="1"/>
  <c r="D41" i="1"/>
  <c r="C41" i="1"/>
  <c r="B41" i="1"/>
  <c r="A41" i="1"/>
  <c r="F39" i="1"/>
  <c r="E39" i="1"/>
  <c r="D39" i="1"/>
  <c r="C39" i="1"/>
  <c r="B39" i="1"/>
  <c r="A39" i="1"/>
  <c r="F38" i="1"/>
  <c r="E38" i="1"/>
  <c r="D38" i="1"/>
  <c r="C38" i="1"/>
  <c r="B38" i="1"/>
  <c r="A38" i="1"/>
  <c r="F36" i="1"/>
  <c r="E36" i="1"/>
  <c r="D36" i="1"/>
  <c r="C36" i="1"/>
  <c r="B36" i="1"/>
  <c r="A36" i="1"/>
  <c r="F35" i="1"/>
  <c r="E35" i="1"/>
  <c r="D35" i="1"/>
  <c r="C35" i="1"/>
  <c r="B35" i="1"/>
  <c r="A35" i="1"/>
  <c r="F33" i="1"/>
  <c r="E33" i="1"/>
  <c r="D33" i="1"/>
  <c r="C33" i="1"/>
  <c r="B33" i="1"/>
  <c r="A33" i="1"/>
  <c r="F32" i="1"/>
  <c r="E32" i="1"/>
  <c r="D32" i="1"/>
  <c r="C32" i="1"/>
  <c r="B32" i="1"/>
  <c r="A32" i="1"/>
  <c r="F30" i="1"/>
  <c r="E30" i="1"/>
  <c r="D30" i="1"/>
  <c r="C30" i="1"/>
  <c r="B30" i="1"/>
  <c r="A30" i="1"/>
  <c r="F29" i="1"/>
  <c r="E29" i="1"/>
  <c r="D29" i="1"/>
  <c r="C29" i="1"/>
  <c r="B29" i="1"/>
  <c r="A29" i="1"/>
  <c r="F27" i="1"/>
  <c r="E27" i="1"/>
  <c r="D27" i="1"/>
  <c r="C27" i="1"/>
  <c r="B27" i="1"/>
  <c r="A27" i="1"/>
  <c r="F26" i="1"/>
  <c r="E26" i="1"/>
  <c r="D26" i="1"/>
  <c r="C26" i="1"/>
  <c r="B26" i="1"/>
  <c r="A26" i="1"/>
  <c r="F24" i="1"/>
  <c r="E24" i="1"/>
  <c r="D24" i="1"/>
  <c r="C24" i="1"/>
  <c r="B24" i="1"/>
  <c r="A24" i="1"/>
  <c r="F23" i="1"/>
  <c r="E23" i="1"/>
  <c r="D23" i="1"/>
  <c r="C23" i="1"/>
  <c r="B23" i="1"/>
  <c r="A23" i="1"/>
  <c r="F21" i="1"/>
  <c r="E21" i="1"/>
  <c r="D21" i="1"/>
  <c r="C21" i="1"/>
  <c r="B21" i="1"/>
  <c r="A21" i="1"/>
  <c r="F20" i="1"/>
  <c r="E20" i="1"/>
  <c r="D20" i="1"/>
  <c r="C20" i="1"/>
  <c r="B20" i="1"/>
  <c r="A20" i="1"/>
  <c r="F18" i="1"/>
  <c r="E18" i="1"/>
  <c r="D18" i="1"/>
  <c r="C18" i="1"/>
  <c r="B18" i="1"/>
  <c r="A18" i="1"/>
  <c r="F17" i="1"/>
  <c r="E17" i="1"/>
  <c r="D17" i="1"/>
  <c r="C17" i="1"/>
  <c r="B17" i="1"/>
  <c r="A17" i="1"/>
  <c r="F15" i="1"/>
  <c r="E15" i="1"/>
  <c r="D15" i="1"/>
  <c r="C15" i="1"/>
  <c r="B15" i="1"/>
  <c r="A15" i="1"/>
  <c r="F14" i="1"/>
  <c r="E14" i="1"/>
  <c r="D14" i="1"/>
  <c r="C14" i="1"/>
  <c r="B14" i="1"/>
  <c r="A14" i="1"/>
  <c r="F12" i="1"/>
  <c r="E12" i="1"/>
  <c r="D12" i="1"/>
  <c r="C12" i="1"/>
  <c r="B12" i="1"/>
  <c r="A12" i="1"/>
  <c r="F11" i="1"/>
  <c r="E11" i="1"/>
  <c r="D11" i="1"/>
  <c r="C11" i="1"/>
  <c r="B11" i="1"/>
  <c r="A11" i="1"/>
  <c r="F9" i="1"/>
  <c r="E9" i="1"/>
  <c r="D9" i="1"/>
  <c r="C9" i="1"/>
  <c r="B9" i="1"/>
  <c r="A9" i="1"/>
  <c r="F8" i="1"/>
  <c r="E8" i="1"/>
  <c r="D8" i="1"/>
  <c r="C8" i="1"/>
  <c r="B8" i="1"/>
  <c r="A8" i="1"/>
  <c r="F6" i="1"/>
  <c r="E6" i="1"/>
  <c r="D6" i="1"/>
  <c r="C6" i="1"/>
  <c r="B6" i="1"/>
  <c r="A6" i="1"/>
  <c r="F5" i="1"/>
  <c r="E5" i="1"/>
  <c r="D5" i="1"/>
  <c r="C5" i="1"/>
  <c r="B5" i="1"/>
  <c r="A5" i="1"/>
  <c r="F3" i="1"/>
  <c r="E3" i="1"/>
  <c r="D3" i="1"/>
  <c r="C3" i="1"/>
  <c r="B3" i="1"/>
  <c r="A3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<sst xmlns="http://schemas.openxmlformats.org/spreadsheetml/2006/main" count="30" uniqueCount="5">
  <si>
    <t>="* p&lt;0.10</t>
  </si>
  <si>
    <t xml:space="preserve"> ** p&lt;0.05</t>
  </si>
  <si>
    <t xml:space="preserve"> *** p&lt;0.01"</t>
  </si>
  <si>
    <t>Teen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</si>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</sst>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C094-A0EB-0349-B03C-F03C621721C6}">
  <dimension ref="A2:N67"/>
  <sheetViews>
    <sheetView tabSelected="1" workbookViewId="0">
      <selection activeCell="P15" sqref="P15:P17"/>
    </sheetView>
  </sheetViews>
  <sheetFormatPr baseColWidth="10" defaultRowHeight="16" x14ac:dyDescent="0.2"/>
  <sheetData>
    <row r="2" spans="1:14" x14ac:dyDescent="0.2">
      <c r="A2" t="str">
        <f>""</f>
        <v/>
      </c>
      <c r="B2" t="str">
        <f>"(1)"</f>
        <v>(1)</v>
      </c>
      <c r="C2" t="str">
        <f>"(2)"</f>
        <v>(2)</v>
      </c>
      <c r="D2" t="str">
        <f>"(3)"</f>
        <v>(3)</v>
      </c>
      <c r="E2" t="str">
        <f>"(4)"</f>
        <v>(4)</v>
      </c>
      <c r="F2" t="str">
        <f>"(5)"</f>
        <v>(5)</v>
      </c>
    </row>
    <row r="3" spans="1:14" x14ac:dyDescent="0.2">
      <c r="A3" t="str">
        <f>""</f>
        <v/>
      </c>
      <c r="B3" t="str">
        <f>"teen_preg"</f>
        <v>teen_preg</v>
      </c>
      <c r="C3" t="str">
        <f>"teen_preg"</f>
        <v>teen_preg</v>
      </c>
      <c r="D3" t="str">
        <f>"teen_preg"</f>
        <v>teen_preg</v>
      </c>
      <c r="E3" t="str">
        <f>"teen_preg"</f>
        <v>teen_preg</v>
      </c>
      <c r="F3" t="str">
        <f>"teen_preg"</f>
        <v>teen_preg</v>
      </c>
      <c r="I3" t="str">
        <f>""</f>
        <v/>
      </c>
      <c r="J3" t="str">
        <f>"(1)"</f>
        <v>(1)</v>
      </c>
      <c r="K3" t="str">
        <f>"(2)"</f>
        <v>(2)</v>
      </c>
      <c r="L3" t="str">
        <f>"(3)"</f>
        <v>(3)</v>
      </c>
      <c r="M3" t="str">
        <f>"(4)"</f>
        <v>(4)</v>
      </c>
      <c r="N3" t="str">
        <f>"(5)"</f>
        <v>(5)</v>
      </c>
    </row>
    <row r="4" spans="1:14" x14ac:dyDescent="0.2">
      <c r="I4" t="str">
        <f>""</f>
        <v/>
      </c>
      <c r="J4" t="str">
        <f>"Fir_bir_age"</f>
        <v>Fir_bir_age</v>
      </c>
      <c r="K4" t="str">
        <f>"Fir_bir_age"</f>
        <v>Fir_bir_age</v>
      </c>
      <c r="L4" t="str">
        <f>"Fir_bir_age"</f>
        <v>Fir_bir_age</v>
      </c>
      <c r="M4" t="str">
        <f>"Fir_bir_age"</f>
        <v>Fir_bir_age</v>
      </c>
      <c r="N4" t="str">
        <f>"Fir_bir_age"</f>
        <v>Fir_bir_age</v>
      </c>
    </row>
    <row r="5" spans="1:14" x14ac:dyDescent="0.2">
      <c r="A5" t="str">
        <f>"past_group"</f>
        <v>past_group</v>
      </c>
      <c r="B5" t="str">
        <f>"-0.203***"</f>
        <v>-0.203***</v>
      </c>
      <c r="C5" t="str">
        <f>"-0.048***"</f>
        <v>-0.048***</v>
      </c>
      <c r="D5" t="str">
        <f>"-0.226***"</f>
        <v>-0.226***</v>
      </c>
      <c r="E5" t="str">
        <f>"-0.099***"</f>
        <v>-0.099***</v>
      </c>
      <c r="F5" t="str">
        <f>"-0.095***"</f>
        <v>-0.095***</v>
      </c>
    </row>
    <row r="6" spans="1:14" x14ac:dyDescent="0.2">
      <c r="A6" t="str">
        <f>""</f>
        <v/>
      </c>
      <c r="B6" t="str">
        <f>"(0.013)"</f>
        <v>(0.013)</v>
      </c>
      <c r="C6" t="str">
        <f>"(0.012)"</f>
        <v>(0.012)</v>
      </c>
      <c r="D6" t="str">
        <f>"(0.013)"</f>
        <v>(0.013)</v>
      </c>
      <c r="E6" t="str">
        <f>"(0.011)"</f>
        <v>(0.011)</v>
      </c>
      <c r="F6" t="str">
        <f>"(0.011)"</f>
        <v>(0.011)</v>
      </c>
      <c r="I6" t="str">
        <f>"past_group"</f>
        <v>past_group</v>
      </c>
      <c r="J6" t="str">
        <f>"2.286***"</f>
        <v>2.286***</v>
      </c>
      <c r="K6" t="str">
        <f>"0.538***"</f>
        <v>0.538***</v>
      </c>
      <c r="L6" t="str">
        <f>"2.483***"</f>
        <v>2.483***</v>
      </c>
      <c r="M6" t="str">
        <f>"1.166***"</f>
        <v>1.166***</v>
      </c>
      <c r="N6" t="str">
        <f>"1.125***"</f>
        <v>1.125***</v>
      </c>
    </row>
    <row r="7" spans="1:14" x14ac:dyDescent="0.2">
      <c r="I7" t="str">
        <f>""</f>
        <v/>
      </c>
      <c r="J7" t="str">
        <f>"(0.122)"</f>
        <v>(0.122)</v>
      </c>
      <c r="K7" t="str">
        <f>"(0.101)"</f>
        <v>(0.101)</v>
      </c>
      <c r="L7" t="str">
        <f>"(0.123)"</f>
        <v>(0.123)</v>
      </c>
      <c r="M7" t="str">
        <f>"(0.068)"</f>
        <v>(0.068)</v>
      </c>
      <c r="N7" t="str">
        <f>"(0.069)"</f>
        <v>(0.069)</v>
      </c>
    </row>
    <row r="8" spans="1:14" x14ac:dyDescent="0.2">
      <c r="A8" t="str">
        <f>"TC_noborder"</f>
        <v>TC_noborder</v>
      </c>
      <c r="B8" t="str">
        <f>"0.133***"</f>
        <v>0.133***</v>
      </c>
      <c r="C8" t="str">
        <f>"0.061***"</f>
        <v>0.061***</v>
      </c>
      <c r="D8" t="str">
        <f>"0.133***"</f>
        <v>0.133***</v>
      </c>
      <c r="E8" t="str">
        <f>"0.068***"</f>
        <v>0.068***</v>
      </c>
      <c r="F8" t="str">
        <f>"0.067***"</f>
        <v>0.067***</v>
      </c>
    </row>
    <row r="9" spans="1:14" x14ac:dyDescent="0.2">
      <c r="A9" t="str">
        <f>""</f>
        <v/>
      </c>
      <c r="B9" t="str">
        <f>"(0.013)"</f>
        <v>(0.013)</v>
      </c>
      <c r="C9" t="str">
        <f>"(0.010)"</f>
        <v>(0.010)</v>
      </c>
      <c r="D9" t="str">
        <f>"(0.013)"</f>
        <v>(0.013)</v>
      </c>
      <c r="E9" t="str">
        <f>"(0.008)"</f>
        <v>(0.008)</v>
      </c>
      <c r="F9" t="str">
        <f>"(0.008)"</f>
        <v>(0.008)</v>
      </c>
      <c r="I9" t="str">
        <f>"TC_noborder"</f>
        <v>TC_noborder</v>
      </c>
      <c r="J9" t="str">
        <f>"-1.157***"</f>
        <v>-1.157***</v>
      </c>
      <c r="K9" t="str">
        <f>"-0.400***"</f>
        <v>-0.400***</v>
      </c>
      <c r="L9" t="str">
        <f>"-1.160***"</f>
        <v>-1.160***</v>
      </c>
      <c r="M9" t="str">
        <f>"-0.485***"</f>
        <v>-0.485***</v>
      </c>
      <c r="N9" t="str">
        <f>"-0.472***"</f>
        <v>-0.472***</v>
      </c>
    </row>
    <row r="10" spans="1:14" x14ac:dyDescent="0.2">
      <c r="I10" t="str">
        <f>""</f>
        <v/>
      </c>
      <c r="J10" t="str">
        <f>"(0.116)"</f>
        <v>(0.116)</v>
      </c>
      <c r="K10" t="str">
        <f>"(0.076)"</f>
        <v>(0.076)</v>
      </c>
      <c r="L10" t="str">
        <f>"(0.123)"</f>
        <v>(0.123)</v>
      </c>
      <c r="M10" t="str">
        <f>"(0.049)"</f>
        <v>(0.049)</v>
      </c>
      <c r="N10" t="str">
        <f>"(0.049)"</f>
        <v>(0.049)</v>
      </c>
    </row>
    <row r="11" spans="1:14" x14ac:dyDescent="0.2">
      <c r="A11" t="str">
        <f>"Poorest"</f>
        <v>Poorest</v>
      </c>
      <c r="B11" t="str">
        <f>"0.335***"</f>
        <v>0.335***</v>
      </c>
      <c r="C11" t="str">
        <f>"0.143***"</f>
        <v>0.143***</v>
      </c>
      <c r="D11" t="str">
        <f>"0.258***"</f>
        <v>0.258***</v>
      </c>
      <c r="E11" t="str">
        <f>"0.032***"</f>
        <v>0.032***</v>
      </c>
      <c r="F11" t="str">
        <f>"0.033***"</f>
        <v>0.033***</v>
      </c>
    </row>
    <row r="12" spans="1:14" x14ac:dyDescent="0.2">
      <c r="A12" t="str">
        <f>""</f>
        <v/>
      </c>
      <c r="B12" t="str">
        <f>"(0.013)"</f>
        <v>(0.013)</v>
      </c>
      <c r="C12" t="str">
        <f>"(0.013)"</f>
        <v>(0.013)</v>
      </c>
      <c r="D12" t="str">
        <f>"(0.014)"</f>
        <v>(0.014)</v>
      </c>
      <c r="E12" t="str">
        <f>"(0.012)"</f>
        <v>(0.012)</v>
      </c>
      <c r="F12" t="str">
        <f>"(0.012)"</f>
        <v>(0.012)</v>
      </c>
      <c r="I12" t="str">
        <f>"Poorest"</f>
        <v>Poorest</v>
      </c>
      <c r="J12" t="str">
        <f>"-3.078***"</f>
        <v>-3.078***</v>
      </c>
      <c r="K12" t="str">
        <f>"-1.338***"</f>
        <v>-1.338***</v>
      </c>
      <c r="L12" t="str">
        <f>"-2.404***"</f>
        <v>-2.404***</v>
      </c>
      <c r="M12" t="str">
        <f>"0.030"</f>
        <v>0.030</v>
      </c>
      <c r="N12" t="str">
        <f>"0.007"</f>
        <v>0.007</v>
      </c>
    </row>
    <row r="13" spans="1:14" x14ac:dyDescent="0.2">
      <c r="I13" t="str">
        <f>""</f>
        <v/>
      </c>
      <c r="J13" t="str">
        <f>"(0.111)"</f>
        <v>(0.111)</v>
      </c>
      <c r="K13" t="str">
        <f>"(0.102)"</f>
        <v>(0.102)</v>
      </c>
      <c r="L13" t="str">
        <f>"(0.119)"</f>
        <v>(0.119)</v>
      </c>
      <c r="M13" t="str">
        <f>"(0.066)"</f>
        <v>(0.066)</v>
      </c>
      <c r="N13" t="str">
        <f>"(0.068)"</f>
        <v>(0.068)</v>
      </c>
    </row>
    <row r="14" spans="1:14" x14ac:dyDescent="0.2">
      <c r="A14" t="str">
        <f>"Poorer"</f>
        <v>Poorer</v>
      </c>
      <c r="B14" t="str">
        <f>"0.266***"</f>
        <v>0.266***</v>
      </c>
      <c r="C14" t="str">
        <f>"0.099***"</f>
        <v>0.099***</v>
      </c>
      <c r="D14" t="str">
        <f>"0.201***"</f>
        <v>0.201***</v>
      </c>
      <c r="E14" t="str">
        <f>"0.027**"</f>
        <v>0.027**</v>
      </c>
      <c r="F14" t="str">
        <f>"0.026**"</f>
        <v>0.026**</v>
      </c>
    </row>
    <row r="15" spans="1:14" x14ac:dyDescent="0.2">
      <c r="A15" t="str">
        <f>""</f>
        <v/>
      </c>
      <c r="B15" t="str">
        <f>"(0.013)"</f>
        <v>(0.013)</v>
      </c>
      <c r="C15" t="str">
        <f>"(0.013)"</f>
        <v>(0.013)</v>
      </c>
      <c r="D15" t="str">
        <f>"(0.014)"</f>
        <v>(0.014)</v>
      </c>
      <c r="E15" t="str">
        <f>"(0.011)"</f>
        <v>(0.011)</v>
      </c>
      <c r="F15" t="str">
        <f>"(0.011)"</f>
        <v>(0.011)</v>
      </c>
      <c r="I15" t="str">
        <f>"Poorer"</f>
        <v>Poorer</v>
      </c>
      <c r="J15" t="str">
        <f>"-2.548***"</f>
        <v>-2.548***</v>
      </c>
      <c r="K15" t="str">
        <f>"-1.016***"</f>
        <v>-1.016***</v>
      </c>
      <c r="L15" t="str">
        <f>"-1.976***"</f>
        <v>-1.976***</v>
      </c>
      <c r="M15" t="str">
        <f>"-0.116*"</f>
        <v>-0.116*</v>
      </c>
      <c r="N15" t="str">
        <f>"-0.125**"</f>
        <v>-0.125**</v>
      </c>
    </row>
    <row r="16" spans="1:14" x14ac:dyDescent="0.2">
      <c r="I16" t="str">
        <f>""</f>
        <v/>
      </c>
      <c r="J16" t="str">
        <f>"(0.108)"</f>
        <v>(0.108)</v>
      </c>
      <c r="K16" t="str">
        <f>"(0.095)"</f>
        <v>(0.095)</v>
      </c>
      <c r="L16" t="str">
        <f>"(0.115)"</f>
        <v>(0.115)</v>
      </c>
      <c r="M16" t="str">
        <f>"(0.061)"</f>
        <v>(0.061)</v>
      </c>
      <c r="N16" t="str">
        <f>"(0.063)"</f>
        <v>(0.063)</v>
      </c>
    </row>
    <row r="17" spans="1:14" x14ac:dyDescent="0.2">
      <c r="A17" t="str">
        <f>"Middle"</f>
        <v>Middle</v>
      </c>
      <c r="B17" t="str">
        <f>"0.192***"</f>
        <v>0.192***</v>
      </c>
      <c r="C17" t="str">
        <f>"0.072***"</f>
        <v>0.072***</v>
      </c>
      <c r="D17" t="str">
        <f>"0.141***"</f>
        <v>0.141***</v>
      </c>
      <c r="E17" t="str">
        <f>"0.016"</f>
        <v>0.016</v>
      </c>
      <c r="F17" t="str">
        <f>"0.014"</f>
        <v>0.014</v>
      </c>
    </row>
    <row r="18" spans="1:14" x14ac:dyDescent="0.2">
      <c r="A18" t="str">
        <f>""</f>
        <v/>
      </c>
      <c r="B18" t="str">
        <f>"(0.012)"</f>
        <v>(0.012)</v>
      </c>
      <c r="C18" t="str">
        <f>"(0.012)"</f>
        <v>(0.012)</v>
      </c>
      <c r="D18" t="str">
        <f>"(0.012)"</f>
        <v>(0.012)</v>
      </c>
      <c r="E18" t="str">
        <f>"(0.010)"</f>
        <v>(0.010)</v>
      </c>
      <c r="F18" t="str">
        <f>"(0.010)"</f>
        <v>(0.010)</v>
      </c>
      <c r="I18" t="str">
        <f>"Middle"</f>
        <v>Middle</v>
      </c>
      <c r="J18" t="str">
        <f>"-1.921***"</f>
        <v>-1.921***</v>
      </c>
      <c r="K18" t="str">
        <f>"-0.799***"</f>
        <v>-0.799***</v>
      </c>
      <c r="L18" t="str">
        <f>"-1.463***"</f>
        <v>-1.463***</v>
      </c>
      <c r="M18" t="str">
        <f>"-0.107*"</f>
        <v>-0.107*</v>
      </c>
      <c r="N18" t="str">
        <f>"-0.098"</f>
        <v>-0.098</v>
      </c>
    </row>
    <row r="19" spans="1:14" x14ac:dyDescent="0.2">
      <c r="I19" t="str">
        <f>""</f>
        <v/>
      </c>
      <c r="J19" t="str">
        <f>"(0.106)"</f>
        <v>(0.106)</v>
      </c>
      <c r="K19" t="str">
        <f>"(0.094)"</f>
        <v>(0.094)</v>
      </c>
      <c r="L19" t="str">
        <f>"(0.112)"</f>
        <v>(0.112)</v>
      </c>
      <c r="M19" t="str">
        <f>"(0.059)"</f>
        <v>(0.059)</v>
      </c>
      <c r="N19" t="str">
        <f>"(0.060)"</f>
        <v>(0.060)</v>
      </c>
    </row>
    <row r="20" spans="1:14" x14ac:dyDescent="0.2">
      <c r="A20" t="str">
        <f>"Richer"</f>
        <v>Richer</v>
      </c>
      <c r="B20" t="str">
        <f>"0.098***"</f>
        <v>0.098***</v>
      </c>
      <c r="C20" t="str">
        <f>"0.027***"</f>
        <v>0.027***</v>
      </c>
      <c r="D20" t="str">
        <f>"0.063***"</f>
        <v>0.063***</v>
      </c>
      <c r="E20" t="str">
        <f>"-0.004"</f>
        <v>-0.004</v>
      </c>
      <c r="F20" t="str">
        <f>"-0.005"</f>
        <v>-0.005</v>
      </c>
    </row>
    <row r="21" spans="1:14" x14ac:dyDescent="0.2">
      <c r="A21" t="str">
        <f>""</f>
        <v/>
      </c>
      <c r="B21" t="str">
        <f>"(0.010)"</f>
        <v>(0.010)</v>
      </c>
      <c r="C21" t="str">
        <f>"(0.010)"</f>
        <v>(0.010)</v>
      </c>
      <c r="D21" t="str">
        <f>"(0.011)"</f>
        <v>(0.011)</v>
      </c>
      <c r="E21" t="str">
        <f>"(0.009)"</f>
        <v>(0.009)</v>
      </c>
      <c r="F21" t="str">
        <f>"(0.009)"</f>
        <v>(0.009)</v>
      </c>
      <c r="I21" t="str">
        <f>"Richer"</f>
        <v>Richer</v>
      </c>
      <c r="J21" t="str">
        <f>"-1.081***"</f>
        <v>-1.081***</v>
      </c>
      <c r="K21" t="str">
        <f>"-0.407***"</f>
        <v>-0.407***</v>
      </c>
      <c r="L21" t="str">
        <f>"-0.765***"</f>
        <v>-0.765***</v>
      </c>
      <c r="M21" t="str">
        <f>"-0.040"</f>
        <v>-0.040</v>
      </c>
      <c r="N21" t="str">
        <f>"-0.030"</f>
        <v>-0.030</v>
      </c>
    </row>
    <row r="22" spans="1:14" x14ac:dyDescent="0.2">
      <c r="I22" t="str">
        <f>""</f>
        <v/>
      </c>
      <c r="J22" t="str">
        <f>"(0.094)"</f>
        <v>(0.094)</v>
      </c>
      <c r="K22" t="str">
        <f>"(0.082)"</f>
        <v>(0.082)</v>
      </c>
      <c r="L22" t="str">
        <f>"(0.096)"</f>
        <v>(0.096)</v>
      </c>
      <c r="M22" t="str">
        <f>"(0.052)"</f>
        <v>(0.052)</v>
      </c>
      <c r="N22" t="str">
        <f>"(0.053)"</f>
        <v>(0.053)</v>
      </c>
    </row>
    <row r="23" spans="1:14" x14ac:dyDescent="0.2">
      <c r="A23" t="str">
        <f>"Respondent_work"</f>
        <v>Respondent_work</v>
      </c>
      <c r="B23" t="str">
        <f>"-0.050***"</f>
        <v>-0.050***</v>
      </c>
      <c r="C23" t="str">
        <f>"0.005"</f>
        <v>0.005</v>
      </c>
      <c r="D23" t="str">
        <f>"-0.029***"</f>
        <v>-0.029***</v>
      </c>
      <c r="E23" t="str">
        <f>"0.017**"</f>
        <v>0.017**</v>
      </c>
      <c r="F23" t="str">
        <f>"0.020***"</f>
        <v>0.020***</v>
      </c>
    </row>
    <row r="24" spans="1:14" x14ac:dyDescent="0.2">
      <c r="A24" t="str">
        <f>""</f>
        <v/>
      </c>
      <c r="B24" t="str">
        <f>"(0.008)"</f>
        <v>(0.008)</v>
      </c>
      <c r="C24" t="str">
        <f>"(0.008)"</f>
        <v>(0.008)</v>
      </c>
      <c r="D24" t="str">
        <f>"(0.008)"</f>
        <v>(0.008)</v>
      </c>
      <c r="E24" t="str">
        <f>"(0.007)"</f>
        <v>(0.007)</v>
      </c>
      <c r="F24" t="str">
        <f>"(0.007)"</f>
        <v>(0.007)</v>
      </c>
      <c r="I24" t="str">
        <f>"Respondent_work"</f>
        <v>Respondent_work</v>
      </c>
      <c r="J24" t="str">
        <f>"0.712***"</f>
        <v>0.712***</v>
      </c>
      <c r="K24" t="str">
        <f>"0.181***"</f>
        <v>0.181***</v>
      </c>
      <c r="L24" t="str">
        <f>"0.525***"</f>
        <v>0.525***</v>
      </c>
      <c r="M24" t="str">
        <f>"0.032"</f>
        <v>0.032</v>
      </c>
      <c r="N24" t="str">
        <f>"0.010"</f>
        <v>0.010</v>
      </c>
    </row>
    <row r="25" spans="1:14" x14ac:dyDescent="0.2">
      <c r="I25" t="str">
        <f>""</f>
        <v/>
      </c>
      <c r="J25" t="str">
        <f>"(0.083)"</f>
        <v>(0.083)</v>
      </c>
      <c r="K25" t="str">
        <f>"(0.069)"</f>
        <v>(0.069)</v>
      </c>
      <c r="L25" t="str">
        <f>"(0.076)"</f>
        <v>(0.076)</v>
      </c>
      <c r="M25" t="str">
        <f>"(0.043)"</f>
        <v>(0.043)</v>
      </c>
      <c r="N25" t="str">
        <f>"(0.042)"</f>
        <v>(0.042)</v>
      </c>
    </row>
    <row r="26" spans="1:14" x14ac:dyDescent="0.2">
      <c r="A26" t="str">
        <f>"no_edu"</f>
        <v>no_edu</v>
      </c>
      <c r="B26" t="str">
        <f>""</f>
        <v/>
      </c>
      <c r="C26" t="str">
        <f>"0.336***"</f>
        <v>0.336***</v>
      </c>
      <c r="D26" t="str">
        <f>""</f>
        <v/>
      </c>
      <c r="E26" t="str">
        <f>"0.209***"</f>
        <v>0.209***</v>
      </c>
      <c r="F26" t="str">
        <f>"0.186***"</f>
        <v>0.186***</v>
      </c>
    </row>
    <row r="27" spans="1:14" x14ac:dyDescent="0.2">
      <c r="A27" t="str">
        <f>""</f>
        <v/>
      </c>
      <c r="B27" t="str">
        <f>""</f>
        <v/>
      </c>
      <c r="C27" t="str">
        <f>"(0.011)"</f>
        <v>(0.011)</v>
      </c>
      <c r="D27" t="str">
        <f>""</f>
        <v/>
      </c>
      <c r="E27" t="str">
        <f>"(0.010)"</f>
        <v>(0.010)</v>
      </c>
      <c r="F27" t="str">
        <f>"(0.012)"</f>
        <v>(0.012)</v>
      </c>
      <c r="I27" t="str">
        <f>"no_edu"</f>
        <v>no_edu</v>
      </c>
      <c r="J27" t="str">
        <f>""</f>
        <v/>
      </c>
      <c r="K27" t="str">
        <f>"-3.035***"</f>
        <v>-3.035***</v>
      </c>
      <c r="L27" t="str">
        <f>""</f>
        <v/>
      </c>
      <c r="M27" t="str">
        <f>"-1.469***"</f>
        <v>-1.469***</v>
      </c>
      <c r="N27" t="str">
        <f>"-1.310***"</f>
        <v>-1.310***</v>
      </c>
    </row>
    <row r="28" spans="1:14" x14ac:dyDescent="0.2">
      <c r="I28" t="str">
        <f>""</f>
        <v/>
      </c>
      <c r="J28" t="str">
        <f>""</f>
        <v/>
      </c>
      <c r="K28" t="str">
        <f>"(0.093)"</f>
        <v>(0.093)</v>
      </c>
      <c r="L28" t="str">
        <f>""</f>
        <v/>
      </c>
      <c r="M28" t="str">
        <f>"(0.064)"</f>
        <v>(0.064)</v>
      </c>
      <c r="N28" t="str">
        <f>"(0.072)"</f>
        <v>(0.072)</v>
      </c>
    </row>
    <row r="29" spans="1:14" x14ac:dyDescent="0.2">
      <c r="A29" t="str">
        <f>"primary_edu"</f>
        <v>primary_edu</v>
      </c>
      <c r="B29" t="str">
        <f>""</f>
        <v/>
      </c>
      <c r="C29" t="str">
        <f>"0.340***"</f>
        <v>0.340***</v>
      </c>
      <c r="D29" t="str">
        <f>""</f>
        <v/>
      </c>
      <c r="E29" t="str">
        <f>"0.226***"</f>
        <v>0.226***</v>
      </c>
      <c r="F29" t="str">
        <f>"0.203***"</f>
        <v>0.203***</v>
      </c>
    </row>
    <row r="30" spans="1:14" x14ac:dyDescent="0.2">
      <c r="A30" t="str">
        <f>""</f>
        <v/>
      </c>
      <c r="B30" t="str">
        <f>""</f>
        <v/>
      </c>
      <c r="C30" t="str">
        <f>"(0.013)"</f>
        <v>(0.013)</v>
      </c>
      <c r="D30" t="str">
        <f>""</f>
        <v/>
      </c>
      <c r="E30" t="str">
        <f>"(0.012)"</f>
        <v>(0.012)</v>
      </c>
      <c r="F30" t="str">
        <f>"(0.013)"</f>
        <v>(0.013)</v>
      </c>
      <c r="I30" t="str">
        <f>"primary_edu"</f>
        <v>primary_edu</v>
      </c>
      <c r="J30" t="str">
        <f>""</f>
        <v/>
      </c>
      <c r="K30" t="str">
        <f>"-3.009***"</f>
        <v>-3.009***</v>
      </c>
      <c r="L30" t="str">
        <f>""</f>
        <v/>
      </c>
      <c r="M30" t="str">
        <f>"-1.594***"</f>
        <v>-1.594***</v>
      </c>
      <c r="N30" t="str">
        <f>"-1.405***"</f>
        <v>-1.405***</v>
      </c>
    </row>
    <row r="31" spans="1:14" x14ac:dyDescent="0.2">
      <c r="I31" t="str">
        <f>""</f>
        <v/>
      </c>
      <c r="J31" t="str">
        <f>""</f>
        <v/>
      </c>
      <c r="K31" t="str">
        <f>"(0.107)"</f>
        <v>(0.107)</v>
      </c>
      <c r="L31" t="str">
        <f>""</f>
        <v/>
      </c>
      <c r="M31" t="str">
        <f>"(0.069)"</f>
        <v>(0.069)</v>
      </c>
      <c r="N31" t="str">
        <f>"(0.074)"</f>
        <v>(0.074)</v>
      </c>
    </row>
    <row r="32" spans="1:14" x14ac:dyDescent="0.2">
      <c r="A32" t="str">
        <f>"secondary_edu"</f>
        <v>secondary_edu</v>
      </c>
      <c r="B32" t="str">
        <f>""</f>
        <v/>
      </c>
      <c r="C32" t="str">
        <f>"0.186***"</f>
        <v>0.186***</v>
      </c>
      <c r="D32" t="str">
        <f>""</f>
        <v/>
      </c>
      <c r="E32" t="str">
        <f>"0.121***"</f>
        <v>0.121***</v>
      </c>
      <c r="F32" t="str">
        <f>"0.105***"</f>
        <v>0.105***</v>
      </c>
    </row>
    <row r="33" spans="1:14" x14ac:dyDescent="0.2">
      <c r="A33" t="str">
        <f>""</f>
        <v/>
      </c>
      <c r="B33" t="str">
        <f>""</f>
        <v/>
      </c>
      <c r="C33" t="str">
        <f>"(0.007)"</f>
        <v>(0.007)</v>
      </c>
      <c r="D33" t="str">
        <f>""</f>
        <v/>
      </c>
      <c r="E33" t="str">
        <f>"(0.007)"</f>
        <v>(0.007)</v>
      </c>
      <c r="F33" t="str">
        <f>"(0.008)"</f>
        <v>(0.008)</v>
      </c>
      <c r="I33" t="str">
        <f>"secondary_edu"</f>
        <v>secondary_edu</v>
      </c>
      <c r="J33" t="str">
        <f>""</f>
        <v/>
      </c>
      <c r="K33" t="str">
        <f>"-1.873***"</f>
        <v>-1.873***</v>
      </c>
      <c r="L33" t="str">
        <f>""</f>
        <v/>
      </c>
      <c r="M33" t="str">
        <f>"-1.086***"</f>
        <v>-1.086***</v>
      </c>
      <c r="N33" t="str">
        <f>"-0.950***"</f>
        <v>-0.950***</v>
      </c>
    </row>
    <row r="34" spans="1:14" x14ac:dyDescent="0.2">
      <c r="I34" t="str">
        <f>""</f>
        <v/>
      </c>
      <c r="J34" t="str">
        <f>""</f>
        <v/>
      </c>
      <c r="K34" t="str">
        <f>"(0.073)"</f>
        <v>(0.073)</v>
      </c>
      <c r="L34" t="str">
        <f>""</f>
        <v/>
      </c>
      <c r="M34" t="str">
        <f>"(0.047)"</f>
        <v>(0.047)</v>
      </c>
      <c r="N34" t="str">
        <f>"(0.054)"</f>
        <v>(0.054)</v>
      </c>
    </row>
    <row r="35" spans="1:14" x14ac:dyDescent="0.2">
      <c r="A35" t="str">
        <f>"Res_age"</f>
        <v>Res_age</v>
      </c>
      <c r="B35" t="str">
        <f>""</f>
        <v/>
      </c>
      <c r="C35" t="str">
        <f>"-0.027***"</f>
        <v>-0.027***</v>
      </c>
      <c r="D35" t="str">
        <f>""</f>
        <v/>
      </c>
      <c r="E35" t="str">
        <f>"-0.049***"</f>
        <v>-0.049***</v>
      </c>
      <c r="F35" t="str">
        <f>"-0.054***"</f>
        <v>-0.054***</v>
      </c>
    </row>
    <row r="36" spans="1:14" x14ac:dyDescent="0.2">
      <c r="A36" t="str">
        <f>""</f>
        <v/>
      </c>
      <c r="B36" t="str">
        <f>""</f>
        <v/>
      </c>
      <c r="C36" t="str">
        <f>"(0.001)"</f>
        <v>(0.001)</v>
      </c>
      <c r="D36" t="str">
        <f>""</f>
        <v/>
      </c>
      <c r="E36" t="str">
        <f>"(0.001)"</f>
        <v>(0.001)</v>
      </c>
      <c r="F36" t="str">
        <f>"(0.001)"</f>
        <v>(0.001)</v>
      </c>
      <c r="I36" t="str">
        <f>"Res_age"</f>
        <v>Res_age</v>
      </c>
      <c r="J36" t="str">
        <f>""</f>
        <v/>
      </c>
      <c r="K36" t="str">
        <f>"0.310***"</f>
        <v>0.310***</v>
      </c>
      <c r="L36" t="str">
        <f>""</f>
        <v/>
      </c>
      <c r="M36" t="str">
        <f>"0.582***"</f>
        <v>0.582***</v>
      </c>
      <c r="N36" t="str">
        <f>"0.622***"</f>
        <v>0.622***</v>
      </c>
    </row>
    <row r="37" spans="1:14" x14ac:dyDescent="0.2">
      <c r="I37" t="str">
        <f>""</f>
        <v/>
      </c>
      <c r="J37" t="str">
        <f>""</f>
        <v/>
      </c>
      <c r="K37" t="str">
        <f>"(0.010)"</f>
        <v>(0.010)</v>
      </c>
      <c r="L37" t="str">
        <f>""</f>
        <v/>
      </c>
      <c r="M37" t="str">
        <f>"(0.008)"</f>
        <v>(0.008)</v>
      </c>
      <c r="N37" t="str">
        <f>"(0.008)"</f>
        <v>(0.008)</v>
      </c>
    </row>
    <row r="38" spans="1:14" x14ac:dyDescent="0.2">
      <c r="A38" t="str">
        <f>"Husband_work"</f>
        <v>Husband_work</v>
      </c>
      <c r="B38" t="str">
        <f>""</f>
        <v/>
      </c>
      <c r="C38" t="str">
        <f>""</f>
        <v/>
      </c>
      <c r="D38" t="str">
        <f>"0.037"</f>
        <v>0.037</v>
      </c>
      <c r="E38" t="str">
        <f>""</f>
        <v/>
      </c>
      <c r="F38" t="str">
        <f>"0.014"</f>
        <v>0.014</v>
      </c>
    </row>
    <row r="39" spans="1:14" x14ac:dyDescent="0.2">
      <c r="A39" t="str">
        <f>""</f>
        <v/>
      </c>
      <c r="B39" t="str">
        <f>""</f>
        <v/>
      </c>
      <c r="C39" t="str">
        <f>""</f>
        <v/>
      </c>
      <c r="D39" t="str">
        <f>"(0.027)"</f>
        <v>(0.027)</v>
      </c>
      <c r="E39" t="str">
        <f>""</f>
        <v/>
      </c>
      <c r="F39" t="str">
        <f>"(0.023)"</f>
        <v>(0.023)</v>
      </c>
      <c r="I39" t="str">
        <f>"Husband_work"</f>
        <v>Husband_work</v>
      </c>
      <c r="J39" t="str">
        <f>""</f>
        <v/>
      </c>
      <c r="K39" t="str">
        <f>""</f>
        <v/>
      </c>
      <c r="L39" t="str">
        <f>"-0.435"</f>
        <v>-0.435</v>
      </c>
      <c r="M39" t="str">
        <f>""</f>
        <v/>
      </c>
      <c r="N39" t="str">
        <f>"-0.112"</f>
        <v>-0.112</v>
      </c>
    </row>
    <row r="40" spans="1:14" x14ac:dyDescent="0.2">
      <c r="I40" t="str">
        <f>""</f>
        <v/>
      </c>
      <c r="J40" t="str">
        <f>""</f>
        <v/>
      </c>
      <c r="K40" t="str">
        <f>""</f>
        <v/>
      </c>
      <c r="L40" t="str">
        <f>"(0.268)"</f>
        <v>(0.268)</v>
      </c>
      <c r="M40" t="str">
        <f>""</f>
        <v/>
      </c>
      <c r="N40" t="str">
        <f>"(0.175)"</f>
        <v>(0.175)</v>
      </c>
    </row>
    <row r="41" spans="1:14" x14ac:dyDescent="0.2">
      <c r="A41" t="str">
        <f>"Husband_no_education"</f>
        <v>Husband_no_education</v>
      </c>
      <c r="B41" t="str">
        <f>""</f>
        <v/>
      </c>
      <c r="C41" t="str">
        <f>""</f>
        <v/>
      </c>
      <c r="D41" t="str">
        <f>"0.182***"</f>
        <v>0.182***</v>
      </c>
      <c r="E41" t="str">
        <f>""</f>
        <v/>
      </c>
      <c r="F41" t="str">
        <f>"0.029**"</f>
        <v>0.029**</v>
      </c>
    </row>
    <row r="42" spans="1:14" x14ac:dyDescent="0.2">
      <c r="A42" t="str">
        <f>""</f>
        <v/>
      </c>
      <c r="B42" t="str">
        <f>""</f>
        <v/>
      </c>
      <c r="C42" t="str">
        <f>""</f>
        <v/>
      </c>
      <c r="D42" t="str">
        <f>"(0.014)"</f>
        <v>(0.014)</v>
      </c>
      <c r="E42" t="str">
        <f>""</f>
        <v/>
      </c>
      <c r="F42" t="str">
        <f>"(0.013)"</f>
        <v>(0.013)</v>
      </c>
      <c r="I42" t="str">
        <f>"Husband_no_education"</f>
        <v>Husband_no_education</v>
      </c>
      <c r="J42" t="str">
        <f>""</f>
        <v/>
      </c>
      <c r="K42" t="str">
        <f>""</f>
        <v/>
      </c>
      <c r="L42" t="str">
        <f>"-1.601***"</f>
        <v>-1.601***</v>
      </c>
      <c r="M42" t="str">
        <f>""</f>
        <v/>
      </c>
      <c r="N42" t="str">
        <f>"-0.162**"</f>
        <v>-0.162**</v>
      </c>
    </row>
    <row r="43" spans="1:14" x14ac:dyDescent="0.2">
      <c r="I43" t="str">
        <f>""</f>
        <v/>
      </c>
      <c r="J43" t="str">
        <f>""</f>
        <v/>
      </c>
      <c r="K43" t="str">
        <f>""</f>
        <v/>
      </c>
      <c r="L43" t="str">
        <f>"(0.106)"</f>
        <v>(0.106)</v>
      </c>
      <c r="M43" t="str">
        <f>""</f>
        <v/>
      </c>
      <c r="N43" t="str">
        <f>"(0.068)"</f>
        <v>(0.068)</v>
      </c>
    </row>
    <row r="44" spans="1:14" x14ac:dyDescent="0.2">
      <c r="A44" t="str">
        <f>"Husband_primary"</f>
        <v>Husband_primary</v>
      </c>
      <c r="B44" t="str">
        <f>""</f>
        <v/>
      </c>
      <c r="C44" t="str">
        <f>""</f>
        <v/>
      </c>
      <c r="D44" t="str">
        <f>"0.172***"</f>
        <v>0.172***</v>
      </c>
      <c r="E44" t="str">
        <f>""</f>
        <v/>
      </c>
      <c r="F44" t="str">
        <f>"0.035***"</f>
        <v>0.035***</v>
      </c>
    </row>
    <row r="45" spans="1:14" x14ac:dyDescent="0.2">
      <c r="A45" t="str">
        <f>""</f>
        <v/>
      </c>
      <c r="B45" t="str">
        <f>""</f>
        <v/>
      </c>
      <c r="C45" t="str">
        <f>""</f>
        <v/>
      </c>
      <c r="D45" t="str">
        <f>"(0.011)"</f>
        <v>(0.011)</v>
      </c>
      <c r="E45" t="str">
        <f>""</f>
        <v/>
      </c>
      <c r="F45" t="str">
        <f>"(0.012)"</f>
        <v>(0.012)</v>
      </c>
      <c r="I45" t="str">
        <f>"Husband_primary"</f>
        <v>Husband_primary</v>
      </c>
      <c r="J45" t="str">
        <f>""</f>
        <v/>
      </c>
      <c r="K45" t="str">
        <f>""</f>
        <v/>
      </c>
      <c r="L45" t="str">
        <f>"-1.570***"</f>
        <v>-1.570***</v>
      </c>
      <c r="M45" t="str">
        <f>""</f>
        <v/>
      </c>
      <c r="N45" t="str">
        <f>"-0.309***"</f>
        <v>-0.309***</v>
      </c>
    </row>
    <row r="46" spans="1:14" x14ac:dyDescent="0.2">
      <c r="I46" t="str">
        <f>""</f>
        <v/>
      </c>
      <c r="J46" t="str">
        <f>""</f>
        <v/>
      </c>
      <c r="K46" t="str">
        <f>""</f>
        <v/>
      </c>
      <c r="L46" t="str">
        <f>"(0.089)"</f>
        <v>(0.089)</v>
      </c>
      <c r="M46" t="str">
        <f>""</f>
        <v/>
      </c>
      <c r="N46" t="str">
        <f>"(0.065)"</f>
        <v>(0.065)</v>
      </c>
    </row>
    <row r="47" spans="1:14" x14ac:dyDescent="0.2">
      <c r="A47" t="str">
        <f>"Husband_secondary"</f>
        <v>Husband_secondary</v>
      </c>
      <c r="B47" t="str">
        <f>""</f>
        <v/>
      </c>
      <c r="C47" t="str">
        <f>""</f>
        <v/>
      </c>
      <c r="D47" t="str">
        <f>"0.106***"</f>
        <v>0.106***</v>
      </c>
      <c r="E47" t="str">
        <f>""</f>
        <v/>
      </c>
      <c r="F47" t="str">
        <f>"0.023***"</f>
        <v>0.023***</v>
      </c>
    </row>
    <row r="48" spans="1:14" x14ac:dyDescent="0.2">
      <c r="A48" t="str">
        <f>""</f>
        <v/>
      </c>
      <c r="B48" t="str">
        <f>""</f>
        <v/>
      </c>
      <c r="C48" t="str">
        <f>""</f>
        <v/>
      </c>
      <c r="D48" t="str">
        <f>"(0.009)"</f>
        <v>(0.009)</v>
      </c>
      <c r="E48" t="str">
        <f>""</f>
        <v/>
      </c>
      <c r="F48" t="str">
        <f>"(0.009)"</f>
        <v>(0.009)</v>
      </c>
      <c r="I48" t="str">
        <f>"Husband_secondary"</f>
        <v>Husband_secondary</v>
      </c>
      <c r="J48" t="str">
        <f>""</f>
        <v/>
      </c>
      <c r="K48" t="str">
        <f>""</f>
        <v/>
      </c>
      <c r="L48" t="str">
        <f>"-1.004***"</f>
        <v>-1.004***</v>
      </c>
      <c r="M48" t="str">
        <f>""</f>
        <v/>
      </c>
      <c r="N48" t="str">
        <f>"-0.195***"</f>
        <v>-0.195***</v>
      </c>
    </row>
    <row r="49" spans="1:14" x14ac:dyDescent="0.2">
      <c r="I49" t="str">
        <f>""</f>
        <v/>
      </c>
      <c r="J49" t="str">
        <f>""</f>
        <v/>
      </c>
      <c r="K49" t="str">
        <f>""</f>
        <v/>
      </c>
      <c r="L49" t="str">
        <f>"(0.071)"</f>
        <v>(0.071)</v>
      </c>
      <c r="M49" t="str">
        <f>""</f>
        <v/>
      </c>
      <c r="N49" t="str">
        <f>"(0.049)"</f>
        <v>(0.049)</v>
      </c>
    </row>
    <row r="50" spans="1:14" x14ac:dyDescent="0.2">
      <c r="A50" t="str">
        <f>"Husband_age"</f>
        <v>Husband_age</v>
      </c>
      <c r="B50" t="str">
        <f>""</f>
        <v/>
      </c>
      <c r="C50" t="str">
        <f>""</f>
        <v/>
      </c>
      <c r="D50" t="str">
        <f>"0.006***"</f>
        <v>0.006***</v>
      </c>
      <c r="E50" t="str">
        <f>""</f>
        <v/>
      </c>
      <c r="F50" t="str">
        <f>"0.007***"</f>
        <v>0.007***</v>
      </c>
    </row>
    <row r="51" spans="1:14" x14ac:dyDescent="0.2">
      <c r="A51" t="str">
        <f>""</f>
        <v/>
      </c>
      <c r="B51" t="str">
        <f>""</f>
        <v/>
      </c>
      <c r="C51" t="str">
        <f>""</f>
        <v/>
      </c>
      <c r="D51" t="str">
        <f>"(0.001)"</f>
        <v>(0.001)</v>
      </c>
      <c r="E51" t="str">
        <f>""</f>
        <v/>
      </c>
      <c r="F51" t="str">
        <f>"(0.001)"</f>
        <v>(0.001)</v>
      </c>
      <c r="I51" t="str">
        <f>"Husband_age"</f>
        <v>Husband_age</v>
      </c>
      <c r="J51" t="str">
        <f>""</f>
        <v/>
      </c>
      <c r="K51" t="str">
        <f>""</f>
        <v/>
      </c>
      <c r="L51" t="str">
        <f>"-0.058***"</f>
        <v>-0.058***</v>
      </c>
      <c r="M51" t="str">
        <f>""</f>
        <v/>
      </c>
      <c r="N51" t="str">
        <f>"-0.059***"</f>
        <v>-0.059***</v>
      </c>
    </row>
    <row r="52" spans="1:14" x14ac:dyDescent="0.2">
      <c r="I52" t="str">
        <f>""</f>
        <v/>
      </c>
      <c r="J52" t="str">
        <f>""</f>
        <v/>
      </c>
      <c r="K52" t="str">
        <f>""</f>
        <v/>
      </c>
      <c r="L52" t="str">
        <f>"(0.006)"</f>
        <v>(0.006)</v>
      </c>
      <c r="M52" t="str">
        <f>""</f>
        <v/>
      </c>
      <c r="N52" t="str">
        <f>"(0.004)"</f>
        <v>(0.004)</v>
      </c>
    </row>
    <row r="53" spans="1:14" x14ac:dyDescent="0.2">
      <c r="A53" t="str">
        <f>"Birth_order_number"</f>
        <v>Birth_order_number</v>
      </c>
      <c r="B53" t="str">
        <f>""</f>
        <v/>
      </c>
      <c r="C53" t="str">
        <f>""</f>
        <v/>
      </c>
      <c r="D53" t="str">
        <f>""</f>
        <v/>
      </c>
      <c r="E53" t="str">
        <f>"0.158***"</f>
        <v>0.158***</v>
      </c>
      <c r="F53" t="str">
        <f>"0.153***"</f>
        <v>0.153***</v>
      </c>
    </row>
    <row r="54" spans="1:14" x14ac:dyDescent="0.2">
      <c r="A54" t="str">
        <f>""</f>
        <v/>
      </c>
      <c r="B54" t="str">
        <f>""</f>
        <v/>
      </c>
      <c r="C54" t="str">
        <f>""</f>
        <v/>
      </c>
      <c r="D54" t="str">
        <f>""</f>
        <v/>
      </c>
      <c r="E54" t="str">
        <f>"(0.002)"</f>
        <v>(0.002)</v>
      </c>
      <c r="F54" t="str">
        <f>"(0.002)"</f>
        <v>(0.002)</v>
      </c>
      <c r="I54" t="str">
        <f>"Birth_order_number"</f>
        <v>Birth_order_number</v>
      </c>
      <c r="J54" t="str">
        <f>""</f>
        <v/>
      </c>
      <c r="K54" t="str">
        <f>""</f>
        <v/>
      </c>
      <c r="L54" t="str">
        <f>""</f>
        <v/>
      </c>
      <c r="M54" t="str">
        <f>"-1.950***"</f>
        <v>-1.950***</v>
      </c>
      <c r="N54" t="str">
        <f>"-1.908***"</f>
        <v>-1.908***</v>
      </c>
    </row>
    <row r="55" spans="1:14" x14ac:dyDescent="0.2">
      <c r="I55" t="str">
        <f>""</f>
        <v/>
      </c>
      <c r="J55" t="str">
        <f>""</f>
        <v/>
      </c>
      <c r="K55" t="str">
        <f>""</f>
        <v/>
      </c>
      <c r="L55" t="str">
        <f>""</f>
        <v/>
      </c>
      <c r="M55" t="str">
        <f>"(0.021)"</f>
        <v>(0.021)</v>
      </c>
      <c r="N55" t="str">
        <f>"(0.021)"</f>
        <v>(0.021)</v>
      </c>
    </row>
    <row r="56" spans="1:14" x14ac:dyDescent="0.2">
      <c r="A56" t="str">
        <f>"Religion"</f>
        <v>Religion</v>
      </c>
      <c r="B56" t="str">
        <f>""</f>
        <v/>
      </c>
      <c r="C56" t="str">
        <f>""</f>
        <v/>
      </c>
      <c r="D56" t="str">
        <f>""</f>
        <v/>
      </c>
      <c r="E56" t="str">
        <f>"0.003"</f>
        <v>0.003</v>
      </c>
      <c r="F56" t="str">
        <f>"0.004"</f>
        <v>0.004</v>
      </c>
    </row>
    <row r="57" spans="1:14" x14ac:dyDescent="0.2">
      <c r="A57" t="str">
        <f>""</f>
        <v/>
      </c>
      <c r="B57" t="str">
        <f>""</f>
        <v/>
      </c>
      <c r="C57" t="str">
        <f>""</f>
        <v/>
      </c>
      <c r="D57" t="str">
        <f>""</f>
        <v/>
      </c>
      <c r="E57" t="str">
        <f>"(0.015)"</f>
        <v>(0.015)</v>
      </c>
      <c r="F57" t="str">
        <f>"(0.015)"</f>
        <v>(0.015)</v>
      </c>
      <c r="I57" t="str">
        <f>"Religion"</f>
        <v>Religion</v>
      </c>
      <c r="J57" t="str">
        <f>""</f>
        <v/>
      </c>
      <c r="K57" t="str">
        <f>""</f>
        <v/>
      </c>
      <c r="L57" t="str">
        <f>""</f>
        <v/>
      </c>
      <c r="M57" t="str">
        <f>"-0.080"</f>
        <v>-0.080</v>
      </c>
      <c r="N57" t="str">
        <f>"-0.080"</f>
        <v>-0.080</v>
      </c>
    </row>
    <row r="58" spans="1:14" x14ac:dyDescent="0.2">
      <c r="I58" t="str">
        <f>""</f>
        <v/>
      </c>
      <c r="J58" t="str">
        <f>""</f>
        <v/>
      </c>
      <c r="K58" t="str">
        <f>""</f>
        <v/>
      </c>
      <c r="L58" t="str">
        <f>""</f>
        <v/>
      </c>
      <c r="M58" t="str">
        <f>"(0.082)"</f>
        <v>(0.082)</v>
      </c>
      <c r="N58" t="str">
        <f>"(0.081)"</f>
        <v>(0.081)</v>
      </c>
    </row>
    <row r="59" spans="1:14" x14ac:dyDescent="0.2">
      <c r="A59" t="str">
        <f>"Constant"</f>
        <v>Constant</v>
      </c>
      <c r="B59" t="str">
        <f>"0.130***"</f>
        <v>0.130***</v>
      </c>
      <c r="C59" t="str">
        <f>"0.809***"</f>
        <v>0.809***</v>
      </c>
      <c r="D59" t="str">
        <f>"-0.194***"</f>
        <v>-0.194***</v>
      </c>
      <c r="E59" t="str">
        <f>"1.163***"</f>
        <v>1.163***</v>
      </c>
      <c r="F59" t="str">
        <f>"1.043***"</f>
        <v>1.043***</v>
      </c>
    </row>
    <row r="60" spans="1:14" x14ac:dyDescent="0.2">
      <c r="A60" t="str">
        <f>""</f>
        <v/>
      </c>
      <c r="B60" t="str">
        <f>"(0.010)"</f>
        <v>(0.010)</v>
      </c>
      <c r="C60" t="str">
        <f>"(0.037)"</f>
        <v>(0.037)</v>
      </c>
      <c r="D60" t="str">
        <f>"(0.037)"</f>
        <v>(0.037)</v>
      </c>
      <c r="E60" t="str">
        <f>"(0.035)"</f>
        <v>(0.035)</v>
      </c>
      <c r="F60" t="str">
        <f>"(0.042)"</f>
        <v>(0.042)</v>
      </c>
      <c r="I60" t="str">
        <f>"Constant"</f>
        <v>Constant</v>
      </c>
      <c r="J60" t="str">
        <f>"23.335***"</f>
        <v>23.335***</v>
      </c>
      <c r="K60" t="str">
        <f>"15.476***"</f>
        <v>15.476***</v>
      </c>
      <c r="L60" t="str">
        <f>"26.407***"</f>
        <v>26.407***</v>
      </c>
      <c r="M60" t="str">
        <f>"11.135***"</f>
        <v>11.135***</v>
      </c>
      <c r="N60" t="str">
        <f>"12.113***"</f>
        <v>12.113***</v>
      </c>
    </row>
    <row r="61" spans="1:14" x14ac:dyDescent="0.2">
      <c r="I61" t="str">
        <f>""</f>
        <v/>
      </c>
      <c r="J61" t="str">
        <f>"(0.089)"</f>
        <v>(0.089)</v>
      </c>
      <c r="K61" t="str">
        <f>"(0.314)"</f>
        <v>(0.314)</v>
      </c>
      <c r="L61" t="str">
        <f>"(0.340)"</f>
        <v>(0.340)</v>
      </c>
      <c r="M61" t="str">
        <f>"(0.226)"</f>
        <v>(0.226)</v>
      </c>
      <c r="N61" t="str">
        <f>"(0.292)"</f>
        <v>(0.292)</v>
      </c>
    </row>
    <row r="62" spans="1:14" x14ac:dyDescent="0.2">
      <c r="A62" t="str">
        <f>"Observations"</f>
        <v>Observations</v>
      </c>
      <c r="B62" t="str">
        <f>"38118"</f>
        <v>38118</v>
      </c>
      <c r="C62" t="str">
        <f>"38118"</f>
        <v>38118</v>
      </c>
      <c r="D62" t="str">
        <f>"37793"</f>
        <v>37793</v>
      </c>
      <c r="E62" t="str">
        <f>"38087"</f>
        <v>38087</v>
      </c>
      <c r="F62" t="str">
        <f>"37762"</f>
        <v>37762</v>
      </c>
    </row>
    <row r="63" spans="1:14" x14ac:dyDescent="0.2">
      <c r="A63" t="str">
        <f>"Adjusted R-squared"</f>
        <v>Adjusted R-squared</v>
      </c>
      <c r="B63" t="str">
        <f>"0.195"</f>
        <v>0.195</v>
      </c>
      <c r="C63" t="str">
        <f>"0.253"</f>
        <v>0.253</v>
      </c>
      <c r="D63" t="str">
        <f>"0.212"</f>
        <v>0.212</v>
      </c>
      <c r="E63" t="str">
        <f>"0.395"</f>
        <v>0.395</v>
      </c>
      <c r="F63" t="str">
        <f>"0.401"</f>
        <v>0.401</v>
      </c>
      <c r="I63" t="str">
        <f>"Observations"</f>
        <v>Observations</v>
      </c>
      <c r="J63" t="str">
        <f>"38118"</f>
        <v>38118</v>
      </c>
      <c r="K63" t="str">
        <f>"38118"</f>
        <v>38118</v>
      </c>
      <c r="L63" t="str">
        <f>"37793"</f>
        <v>37793</v>
      </c>
      <c r="M63" t="str">
        <f>"38087"</f>
        <v>38087</v>
      </c>
      <c r="N63" t="str">
        <f>"37762"</f>
        <v>37762</v>
      </c>
    </row>
    <row r="64" spans="1:14" x14ac:dyDescent="0.2">
      <c r="I64" t="str">
        <f>"Adjusted R-squared"</f>
        <v>Adjusted R-squared</v>
      </c>
      <c r="J64" t="str">
        <f>"0.279"</f>
        <v>0.279</v>
      </c>
      <c r="K64" t="str">
        <f>"0.366"</f>
        <v>0.366</v>
      </c>
      <c r="L64" t="str">
        <f>"0.299"</f>
        <v>0.299</v>
      </c>
      <c r="M64" t="str">
        <f>"0.689"</f>
        <v>0.689</v>
      </c>
      <c r="N64" t="str">
        <f>"0.696"</f>
        <v>0.696</v>
      </c>
    </row>
    <row r="65" spans="1:11" x14ac:dyDescent="0.2">
      <c r="A65" t="str">
        <f>"Standard errors in parentheses"</f>
        <v>Standard errors in parentheses</v>
      </c>
    </row>
    <row r="66" spans="1:11" x14ac:dyDescent="0.2">
      <c r="A66" t="s">
        <v>0</v>
      </c>
      <c r="B66" t="s">
        <v>1</v>
      </c>
      <c r="C66" t="s">
        <v>2</v>
      </c>
      <c r="I66" t="str">
        <f>"Standard errors in parentheses"</f>
        <v>Standard errors in parentheses</v>
      </c>
    </row>
    <row r="67" spans="1:11" x14ac:dyDescent="0.2">
      <c r="I67" t="s">
        <v>0</v>
      </c>
      <c r="J67" t="s">
        <v>1</v>
      </c>
      <c r="K67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9CFD-C29C-884B-9819-667F860A0DDD}">
  <dimension ref="A2:O67"/>
  <sheetViews>
    <sheetView workbookViewId="0">
      <selection activeCell="A2" sqref="A2:G2"/>
    </sheetView>
  </sheetViews>
  <sheetFormatPr baseColWidth="10" defaultRowHeight="16" x14ac:dyDescent="0.2"/>
  <cols>
    <col min="9" max="9" width="26.1640625" bestFit="1" customWidth="1"/>
    <col min="10" max="10" width="17.5" bestFit="1" customWidth="1"/>
    <col min="14" max="14" width="17.5" bestFit="1" customWidth="1"/>
  </cols>
  <sheetData>
    <row r="2" spans="1:15" x14ac:dyDescent="0.2">
      <c r="A2" s="1" t="s">
        <v>3</v>
      </c>
      <c r="B2" s="1"/>
      <c r="C2" s="1"/>
      <c r="D2" s="1"/>
      <c r="E2" s="1"/>
      <c r="F2" s="1"/>
      <c r="G2" s="1"/>
      <c r="I2" s="1" t="s">
        <v>4</v>
      </c>
      <c r="J2" s="1"/>
      <c r="K2" s="1"/>
      <c r="L2" s="1"/>
      <c r="M2" s="1"/>
      <c r="N2" s="1"/>
      <c r="O2" s="1"/>
    </row>
    <row r="3" spans="1:15" x14ac:dyDescent="0.2">
      <c r="A3" t="str">
        <f>""</f>
        <v/>
      </c>
      <c r="B3" t="str">
        <f>"(1)"</f>
        <v>(1)</v>
      </c>
      <c r="C3" t="str">
        <f>"(2)"</f>
        <v>(2)</v>
      </c>
      <c r="D3" t="str">
        <f>"(3)"</f>
        <v>(3)</v>
      </c>
      <c r="E3" t="str">
        <f>"(4)"</f>
        <v>(4)</v>
      </c>
      <c r="F3" t="str">
        <f>"(5)"</f>
        <v>(5)</v>
      </c>
      <c r="I3" t="str">
        <f>""</f>
        <v/>
      </c>
      <c r="J3" t="str">
        <f>"(1)"</f>
        <v>(1)</v>
      </c>
      <c r="K3" t="str">
        <f>"(2)"</f>
        <v>(2)</v>
      </c>
      <c r="L3" t="str">
        <f>"(3)"</f>
        <v>(3)</v>
      </c>
      <c r="M3" t="str">
        <f>"(4)"</f>
        <v>(4)</v>
      </c>
      <c r="N3" t="str">
        <f>"(5)"</f>
        <v>(5)</v>
      </c>
    </row>
    <row r="4" spans="1:15" x14ac:dyDescent="0.2">
      <c r="A4" t="str">
        <f>""</f>
        <v/>
      </c>
      <c r="B4" t="str">
        <f>"Age of First Marriage"</f>
        <v>Age of First Marriage</v>
      </c>
      <c r="C4" t="str">
        <f>"Age of First Marriage"</f>
        <v>Age of First Marriage</v>
      </c>
      <c r="D4" t="str">
        <f>"Age of First Marriage"</f>
        <v>Age of First Marriage</v>
      </c>
      <c r="E4" t="str">
        <f>"Age of First Marriage"</f>
        <v>Age of First Marriage</v>
      </c>
      <c r="F4" t="str">
        <f>"Age of First Marriage"</f>
        <v>Age of First Marriage</v>
      </c>
      <c r="I4" t="str">
        <f>""</f>
        <v/>
      </c>
      <c r="J4" t="str">
        <f>"Age of First Marriage"</f>
        <v>Age of First Marriage</v>
      </c>
      <c r="K4" t="str">
        <f>"Age of First Marriage"</f>
        <v>Age of First Marriage</v>
      </c>
      <c r="L4" t="str">
        <f>"Age of First Marriage"</f>
        <v>Age of First Marriage</v>
      </c>
      <c r="M4" t="str">
        <f>"Age of First Marriage"</f>
        <v>Age of First Marriage</v>
      </c>
      <c r="N4" t="str">
        <f>"Age of First Marriage"</f>
        <v>Age of First Marriage</v>
      </c>
    </row>
    <row r="6" spans="1:15" x14ac:dyDescent="0.2">
      <c r="A6" t="str">
        <f>"past_group"</f>
        <v>past_group</v>
      </c>
      <c r="B6" t="str">
        <f>"0.564"</f>
        <v>0.564</v>
      </c>
      <c r="C6" t="str">
        <f>"0.420"</f>
        <v>0.420</v>
      </c>
      <c r="D6" t="str">
        <f>"0.470"</f>
        <v>0.470</v>
      </c>
      <c r="E6" t="str">
        <f>"0.613*"</f>
        <v>0.613*</v>
      </c>
      <c r="F6" t="str">
        <f>"0.444"</f>
        <v>0.444</v>
      </c>
      <c r="I6" t="str">
        <f>"past_group"</f>
        <v>past_group</v>
      </c>
      <c r="J6" t="str">
        <f>"2.039***"</f>
        <v>2.039***</v>
      </c>
      <c r="K6" t="str">
        <f>"0.475***"</f>
        <v>0.475***</v>
      </c>
      <c r="L6" t="str">
        <f>"2.315***"</f>
        <v>2.315***</v>
      </c>
      <c r="M6" t="str">
        <f>"1.034***"</f>
        <v>1.034***</v>
      </c>
      <c r="N6" t="str">
        <f>"0.973***"</f>
        <v>0.973***</v>
      </c>
    </row>
    <row r="7" spans="1:15" x14ac:dyDescent="0.2">
      <c r="A7" t="str">
        <f>""</f>
        <v/>
      </c>
      <c r="B7" t="str">
        <f>"(0.357)"</f>
        <v>(0.357)</v>
      </c>
      <c r="C7" t="str">
        <f>"(0.333)"</f>
        <v>(0.333)</v>
      </c>
      <c r="D7" t="str">
        <f>"(0.360)"</f>
        <v>(0.360)</v>
      </c>
      <c r="E7" t="str">
        <f>"(0.322)"</f>
        <v>(0.322)</v>
      </c>
      <c r="F7" t="str">
        <f>"(0.331)"</f>
        <v>(0.331)</v>
      </c>
      <c r="I7" t="str">
        <f>""</f>
        <v/>
      </c>
      <c r="J7" t="str">
        <f>"(0.117)"</f>
        <v>(0.117)</v>
      </c>
      <c r="K7" t="str">
        <f>"(0.099)"</f>
        <v>(0.099)</v>
      </c>
      <c r="L7" t="str">
        <f>"(0.120)"</f>
        <v>(0.120)</v>
      </c>
      <c r="M7" t="str">
        <f>"(0.075)"</f>
        <v>(0.075)</v>
      </c>
      <c r="N7" t="str">
        <f>"(0.076)"</f>
        <v>(0.076)</v>
      </c>
    </row>
    <row r="9" spans="1:15" x14ac:dyDescent="0.2">
      <c r="A9" t="str">
        <f>"TC_noborder"</f>
        <v>TC_noborder</v>
      </c>
      <c r="B9" t="str">
        <f>"-0.594***"</f>
        <v>-0.594***</v>
      </c>
      <c r="C9" t="str">
        <f>"-0.445**"</f>
        <v>-0.445**</v>
      </c>
      <c r="D9" t="str">
        <f>"-0.573**"</f>
        <v>-0.573**</v>
      </c>
      <c r="E9" t="str">
        <f>"-0.460**"</f>
        <v>-0.460**</v>
      </c>
      <c r="F9" t="str">
        <f>"-0.351"</f>
        <v>-0.351</v>
      </c>
      <c r="I9" t="str">
        <f>"TC_noborder"</f>
        <v>TC_noborder</v>
      </c>
      <c r="J9" t="str">
        <f>"-1.042***"</f>
        <v>-1.042***</v>
      </c>
      <c r="K9" t="str">
        <f>"-0.319***"</f>
        <v>-0.319***</v>
      </c>
      <c r="L9" t="str">
        <f>"-1.061***"</f>
        <v>-1.061***</v>
      </c>
      <c r="M9" t="str">
        <f>"-0.393***"</f>
        <v>-0.393***</v>
      </c>
      <c r="N9" t="str">
        <f>"-0.376***"</f>
        <v>-0.376***</v>
      </c>
    </row>
    <row r="10" spans="1:15" x14ac:dyDescent="0.2">
      <c r="A10" t="str">
        <f>""</f>
        <v/>
      </c>
      <c r="B10" t="str">
        <f>"(0.218)"</f>
        <v>(0.218)</v>
      </c>
      <c r="C10" t="str">
        <f>"(0.210)"</f>
        <v>(0.210)</v>
      </c>
      <c r="D10" t="str">
        <f>"(0.234)"</f>
        <v>(0.234)</v>
      </c>
      <c r="E10" t="str">
        <f>"(0.200)"</f>
        <v>(0.200)</v>
      </c>
      <c r="F10" t="str">
        <f>"(0.229)"</f>
        <v>(0.229)</v>
      </c>
      <c r="I10" t="str">
        <f>""</f>
        <v/>
      </c>
      <c r="J10" t="str">
        <f>"(0.116)"</f>
        <v>(0.116)</v>
      </c>
      <c r="K10" t="str">
        <f>"(0.078)"</f>
        <v>(0.078)</v>
      </c>
      <c r="L10" t="str">
        <f>"(0.125)"</f>
        <v>(0.125)</v>
      </c>
      <c r="M10" t="str">
        <f>"(0.056)"</f>
        <v>(0.056)</v>
      </c>
      <c r="N10" t="str">
        <f>"(0.055)"</f>
        <v>(0.055)</v>
      </c>
    </row>
    <row r="12" spans="1:15" x14ac:dyDescent="0.2">
      <c r="A12" t="str">
        <f>"Poorest"</f>
        <v>Poorest</v>
      </c>
      <c r="B12" t="str">
        <f>"-1.168***"</f>
        <v>-1.168***</v>
      </c>
      <c r="C12" t="str">
        <f>"-0.949**"</f>
        <v>-0.949**</v>
      </c>
      <c r="D12" t="str">
        <f>"-1.160**"</f>
        <v>-1.160**</v>
      </c>
      <c r="E12" t="str">
        <f>"-0.826**"</f>
        <v>-0.826**</v>
      </c>
      <c r="F12" t="str">
        <f>"-0.884**"</f>
        <v>-0.884**</v>
      </c>
      <c r="I12" t="str">
        <f>"Poorest"</f>
        <v>Poorest</v>
      </c>
      <c r="J12" t="str">
        <f>"-3.437***"</f>
        <v>-3.437***</v>
      </c>
      <c r="K12" t="str">
        <f>"-1.498***"</f>
        <v>-1.498***</v>
      </c>
      <c r="L12" t="str">
        <f>"-2.660***"</f>
        <v>-2.660***</v>
      </c>
      <c r="M12" t="str">
        <f>"-0.278***"</f>
        <v>-0.278***</v>
      </c>
      <c r="N12" t="str">
        <f>"-0.301***"</f>
        <v>-0.301***</v>
      </c>
    </row>
    <row r="13" spans="1:15" x14ac:dyDescent="0.2">
      <c r="A13" t="str">
        <f>""</f>
        <v/>
      </c>
      <c r="B13" t="str">
        <f>"(0.435)"</f>
        <v>(0.435)</v>
      </c>
      <c r="C13" t="str">
        <f>"(0.375)"</f>
        <v>(0.375)</v>
      </c>
      <c r="D13" t="str">
        <f>"(0.464)"</f>
        <v>(0.464)</v>
      </c>
      <c r="E13" t="str">
        <f>"(0.346)"</f>
        <v>(0.346)</v>
      </c>
      <c r="F13" t="str">
        <f>"(0.369)"</f>
        <v>(0.369)</v>
      </c>
      <c r="I13" t="str">
        <f>""</f>
        <v/>
      </c>
      <c r="J13" t="str">
        <f>"(0.108)"</f>
        <v>(0.108)</v>
      </c>
      <c r="K13" t="str">
        <f>"(0.100)"</f>
        <v>(0.100)</v>
      </c>
      <c r="L13" t="str">
        <f>"(0.114)"</f>
        <v>(0.114)</v>
      </c>
      <c r="M13" t="str">
        <f>"(0.072)"</f>
        <v>(0.072)</v>
      </c>
      <c r="N13" t="str">
        <f>"(0.074)"</f>
        <v>(0.074)</v>
      </c>
    </row>
    <row r="15" spans="1:15" x14ac:dyDescent="0.2">
      <c r="A15" t="str">
        <f>"Poorer"</f>
        <v>Poorer</v>
      </c>
      <c r="B15" t="str">
        <f>"-0.927**"</f>
        <v>-0.927**</v>
      </c>
      <c r="C15" t="str">
        <f>"-0.741*"</f>
        <v>-0.741*</v>
      </c>
      <c r="D15" t="str">
        <f>"-0.905**"</f>
        <v>-0.905**</v>
      </c>
      <c r="E15" t="str">
        <f>"-0.663*"</f>
        <v>-0.663*</v>
      </c>
      <c r="F15" t="str">
        <f>"-0.701*"</f>
        <v>-0.701*</v>
      </c>
      <c r="I15" t="str">
        <f>"Poorer"</f>
        <v>Poorer</v>
      </c>
      <c r="J15" t="str">
        <f>"-2.777***"</f>
        <v>-2.777***</v>
      </c>
      <c r="K15" t="str">
        <f>"-1.092***"</f>
        <v>-1.092***</v>
      </c>
      <c r="L15" t="str">
        <f>"-2.137***"</f>
        <v>-2.137***</v>
      </c>
      <c r="M15" t="str">
        <f>"-0.292***"</f>
        <v>-0.292***</v>
      </c>
      <c r="N15" t="str">
        <f>"-0.312***"</f>
        <v>-0.312***</v>
      </c>
    </row>
    <row r="16" spans="1:15" x14ac:dyDescent="0.2">
      <c r="A16" t="str">
        <f>""</f>
        <v/>
      </c>
      <c r="B16" t="str">
        <f>"(0.432)"</f>
        <v>(0.432)</v>
      </c>
      <c r="C16" t="str">
        <f>"(0.394)"</f>
        <v>(0.394)</v>
      </c>
      <c r="D16" t="str">
        <f>"(0.457)"</f>
        <v>(0.457)</v>
      </c>
      <c r="E16" t="str">
        <f>"(0.363)"</f>
        <v>(0.363)</v>
      </c>
      <c r="F16" t="str">
        <f>"(0.375)"</f>
        <v>(0.375)</v>
      </c>
      <c r="I16" t="str">
        <f>""</f>
        <v/>
      </c>
      <c r="J16" t="str">
        <f>"(0.107)"</f>
        <v>(0.107)</v>
      </c>
      <c r="K16" t="str">
        <f>"(0.093)"</f>
        <v>(0.093)</v>
      </c>
      <c r="L16" t="str">
        <f>"(0.111)"</f>
        <v>(0.111)</v>
      </c>
      <c r="M16" t="str">
        <f>"(0.067)"</f>
        <v>(0.067)</v>
      </c>
      <c r="N16" t="str">
        <f>"(0.068)"</f>
        <v>(0.068)</v>
      </c>
    </row>
    <row r="18" spans="1:14" x14ac:dyDescent="0.2">
      <c r="A18" t="str">
        <f>"Middle"</f>
        <v>Middle</v>
      </c>
      <c r="B18" t="str">
        <f>"-0.675"</f>
        <v>-0.675</v>
      </c>
      <c r="C18" t="str">
        <f>"-0.593"</f>
        <v>-0.593</v>
      </c>
      <c r="D18" t="str">
        <f>"-0.630"</f>
        <v>-0.630</v>
      </c>
      <c r="E18" t="str">
        <f>"-0.534"</f>
        <v>-0.534</v>
      </c>
      <c r="F18" t="str">
        <f>"-0.562"</f>
        <v>-0.562</v>
      </c>
      <c r="I18" t="str">
        <f>"Middle"</f>
        <v>Middle</v>
      </c>
      <c r="J18" t="str">
        <f>"-2.101***"</f>
        <v>-2.101***</v>
      </c>
      <c r="K18" t="str">
        <f>"-0.876***"</f>
        <v>-0.876***</v>
      </c>
      <c r="L18" t="str">
        <f>"-1.587***"</f>
        <v>-1.587***</v>
      </c>
      <c r="M18" t="str">
        <f>"-0.259***"</f>
        <v>-0.259***</v>
      </c>
      <c r="N18" t="str">
        <f>"-0.253***"</f>
        <v>-0.253***</v>
      </c>
    </row>
    <row r="19" spans="1:14" x14ac:dyDescent="0.2">
      <c r="A19" t="str">
        <f>""</f>
        <v/>
      </c>
      <c r="B19" t="str">
        <f>"(0.422)"</f>
        <v>(0.422)</v>
      </c>
      <c r="C19" t="str">
        <f>"(0.361)"</f>
        <v>(0.361)</v>
      </c>
      <c r="D19" t="str">
        <f>"(0.444)"</f>
        <v>(0.444)</v>
      </c>
      <c r="E19" t="str">
        <f>"(0.334)"</f>
        <v>(0.334)</v>
      </c>
      <c r="F19" t="str">
        <f>"(0.351)"</f>
        <v>(0.351)</v>
      </c>
      <c r="I19" t="str">
        <f>""</f>
        <v/>
      </c>
      <c r="J19" t="str">
        <f>"(0.101)"</f>
        <v>(0.101)</v>
      </c>
      <c r="K19" t="str">
        <f>"(0.088)"</f>
        <v>(0.088)</v>
      </c>
      <c r="L19" t="str">
        <f>"(0.105)"</f>
        <v>(0.105)</v>
      </c>
      <c r="M19" t="str">
        <f>"(0.062)"</f>
        <v>(0.062)</v>
      </c>
      <c r="N19" t="str">
        <f>"(0.063)"</f>
        <v>(0.063)</v>
      </c>
    </row>
    <row r="21" spans="1:14" x14ac:dyDescent="0.2">
      <c r="A21" t="str">
        <f>"Richer"</f>
        <v>Richer</v>
      </c>
      <c r="B21" t="str">
        <f>"-0.888**"</f>
        <v>-0.888**</v>
      </c>
      <c r="C21" t="str">
        <f>"-0.866**"</f>
        <v>-0.866**</v>
      </c>
      <c r="D21" t="str">
        <f>"-0.809*"</f>
        <v>-0.809*</v>
      </c>
      <c r="E21" t="str">
        <f>"-0.764**"</f>
        <v>-0.764**</v>
      </c>
      <c r="F21" t="str">
        <f>"-0.722**"</f>
        <v>-0.722**</v>
      </c>
      <c r="I21" t="str">
        <f>"Richer"</f>
        <v>Richer</v>
      </c>
      <c r="J21" t="str">
        <f>"-1.169***"</f>
        <v>-1.169***</v>
      </c>
      <c r="K21" t="str">
        <f>"-0.435***"</f>
        <v>-0.435***</v>
      </c>
      <c r="L21" t="str">
        <f>"-0.814***"</f>
        <v>-0.814***</v>
      </c>
      <c r="M21" t="str">
        <f>"-0.107*"</f>
        <v>-0.107*</v>
      </c>
      <c r="N21" t="str">
        <f>"-0.096*"</f>
        <v>-0.096*</v>
      </c>
    </row>
    <row r="22" spans="1:14" x14ac:dyDescent="0.2">
      <c r="A22" t="str">
        <f>""</f>
        <v/>
      </c>
      <c r="B22" t="str">
        <f>"(0.434)"</f>
        <v>(0.434)</v>
      </c>
      <c r="C22" t="str">
        <f>"(0.377)"</f>
        <v>(0.377)</v>
      </c>
      <c r="D22" t="str">
        <f>"(0.461)"</f>
        <v>(0.461)</v>
      </c>
      <c r="E22" t="str">
        <f>"(0.347)"</f>
        <v>(0.347)</v>
      </c>
      <c r="F22" t="str">
        <f>"(0.363)"</f>
        <v>(0.363)</v>
      </c>
      <c r="I22" t="str">
        <f>""</f>
        <v/>
      </c>
      <c r="J22" t="str">
        <f>"(0.093)"</f>
        <v>(0.093)</v>
      </c>
      <c r="K22" t="str">
        <f>"(0.081)"</f>
        <v>(0.081)</v>
      </c>
      <c r="L22" t="str">
        <f>"(0.093)"</f>
        <v>(0.093)</v>
      </c>
      <c r="M22" t="str">
        <f>"(0.057)"</f>
        <v>(0.057)</v>
      </c>
      <c r="N22" t="str">
        <f>"(0.058)"</f>
        <v>(0.058)</v>
      </c>
    </row>
    <row r="24" spans="1:14" x14ac:dyDescent="0.2">
      <c r="A24" t="str">
        <f>"Respondent_work"</f>
        <v>Respondent_work</v>
      </c>
      <c r="B24" t="str">
        <f>"-0.362"</f>
        <v>-0.362</v>
      </c>
      <c r="C24" t="str">
        <f>"-0.317"</f>
        <v>-0.317</v>
      </c>
      <c r="D24" t="str">
        <f>"-0.372"</f>
        <v>-0.372</v>
      </c>
      <c r="E24" t="str">
        <f>"-0.260"</f>
        <v>-0.260</v>
      </c>
      <c r="F24" t="str">
        <f>"-0.262"</f>
        <v>-0.262</v>
      </c>
      <c r="I24" t="str">
        <f>"Respondent_work"</f>
        <v>Respondent_work</v>
      </c>
      <c r="J24" t="str">
        <f>"0.854***"</f>
        <v>0.854***</v>
      </c>
      <c r="K24" t="str">
        <f>"0.286***"</f>
        <v>0.286***</v>
      </c>
      <c r="L24" t="str">
        <f>"0.644***"</f>
        <v>0.644***</v>
      </c>
      <c r="M24" t="str">
        <f>"0.152***"</f>
        <v>0.152***</v>
      </c>
      <c r="N24" t="str">
        <f>"0.124**"</f>
        <v>0.124**</v>
      </c>
    </row>
    <row r="25" spans="1:14" x14ac:dyDescent="0.2">
      <c r="A25" t="str">
        <f>""</f>
        <v/>
      </c>
      <c r="B25" t="str">
        <f>"(0.290)"</f>
        <v>(0.290)</v>
      </c>
      <c r="C25" t="str">
        <f>"(0.290)"</f>
        <v>(0.290)</v>
      </c>
      <c r="D25" t="str">
        <f>"(0.290)"</f>
        <v>(0.290)</v>
      </c>
      <c r="E25" t="str">
        <f>"(0.247)"</f>
        <v>(0.247)</v>
      </c>
      <c r="F25" t="str">
        <f>"(0.256)"</f>
        <v>(0.256)</v>
      </c>
      <c r="I25" t="str">
        <f>""</f>
        <v/>
      </c>
      <c r="J25" t="str">
        <f>"(0.087)"</f>
        <v>(0.087)</v>
      </c>
      <c r="K25" t="str">
        <f>"(0.071)"</f>
        <v>(0.071)</v>
      </c>
      <c r="L25" t="str">
        <f>"(0.077)"</f>
        <v>(0.077)</v>
      </c>
      <c r="M25" t="str">
        <f>"(0.051)"</f>
        <v>(0.051)</v>
      </c>
      <c r="N25" t="str">
        <f>"(0.049)"</f>
        <v>(0.049)</v>
      </c>
    </row>
    <row r="27" spans="1:14" x14ac:dyDescent="0.2">
      <c r="A27" t="str">
        <f>"no_edu"</f>
        <v>no_edu</v>
      </c>
      <c r="B27" t="str">
        <f>""</f>
        <v/>
      </c>
      <c r="C27" t="str">
        <f>"0.141"</f>
        <v>0.141</v>
      </c>
      <c r="D27" t="str">
        <f>""</f>
        <v/>
      </c>
      <c r="E27" t="str">
        <f>"0.264"</f>
        <v>0.264</v>
      </c>
      <c r="F27" t="str">
        <f>"0.426"</f>
        <v>0.426</v>
      </c>
      <c r="I27" t="str">
        <f>"no_edu"</f>
        <v>no_edu</v>
      </c>
      <c r="J27" t="str">
        <f>""</f>
        <v/>
      </c>
      <c r="K27" t="str">
        <f>"-3.476***"</f>
        <v>-3.476***</v>
      </c>
      <c r="L27" t="str">
        <f>""</f>
        <v/>
      </c>
      <c r="M27" t="str">
        <f>"-2.081***"</f>
        <v>-2.081***</v>
      </c>
      <c r="N27" t="str">
        <f>"-1.846***"</f>
        <v>-1.846***</v>
      </c>
    </row>
    <row r="28" spans="1:14" x14ac:dyDescent="0.2">
      <c r="A28" t="str">
        <f>""</f>
        <v/>
      </c>
      <c r="B28" t="str">
        <f>""</f>
        <v/>
      </c>
      <c r="C28" t="str">
        <f>"(0.976)"</f>
        <v>(0.976)</v>
      </c>
      <c r="D28" t="str">
        <f>""</f>
        <v/>
      </c>
      <c r="E28" t="str">
        <f>"(0.889)"</f>
        <v>(0.889)</v>
      </c>
      <c r="F28" t="str">
        <f>"(0.912)"</f>
        <v>(0.912)</v>
      </c>
      <c r="I28" t="str">
        <f>""</f>
        <v/>
      </c>
      <c r="J28" t="str">
        <f>""</f>
        <v/>
      </c>
      <c r="K28" t="str">
        <f>"(0.092)"</f>
        <v>(0.092)</v>
      </c>
      <c r="L28" t="str">
        <f>""</f>
        <v/>
      </c>
      <c r="M28" t="str">
        <f>"(0.071)"</f>
        <v>(0.071)</v>
      </c>
      <c r="N28" t="str">
        <f>"(0.079)"</f>
        <v>(0.079)</v>
      </c>
    </row>
    <row r="30" spans="1:14" x14ac:dyDescent="0.2">
      <c r="A30" t="str">
        <f>"primary_edu"</f>
        <v>primary_edu</v>
      </c>
      <c r="B30" t="str">
        <f>""</f>
        <v/>
      </c>
      <c r="C30" t="str">
        <f>"0.201"</f>
        <v>0.201</v>
      </c>
      <c r="D30" t="str">
        <f>""</f>
        <v/>
      </c>
      <c r="E30" t="str">
        <f>"0.224"</f>
        <v>0.224</v>
      </c>
      <c r="F30" t="str">
        <f>"0.389"</f>
        <v>0.389</v>
      </c>
      <c r="I30" t="str">
        <f>"primary_edu"</f>
        <v>primary_edu</v>
      </c>
      <c r="J30" t="str">
        <f>""</f>
        <v/>
      </c>
      <c r="K30" t="str">
        <f>"-3.343***"</f>
        <v>-3.343***</v>
      </c>
      <c r="L30" t="str">
        <f>""</f>
        <v/>
      </c>
      <c r="M30" t="str">
        <f>"-2.085***"</f>
        <v>-2.085***</v>
      </c>
      <c r="N30" t="str">
        <f>"-1.844***"</f>
        <v>-1.844***</v>
      </c>
    </row>
    <row r="31" spans="1:14" x14ac:dyDescent="0.2">
      <c r="A31" t="str">
        <f>""</f>
        <v/>
      </c>
      <c r="B31" t="str">
        <f>""</f>
        <v/>
      </c>
      <c r="C31" t="str">
        <f>"(0.993)"</f>
        <v>(0.993)</v>
      </c>
      <c r="D31" t="str">
        <f>""</f>
        <v/>
      </c>
      <c r="E31" t="str">
        <f>"(0.909)"</f>
        <v>(0.909)</v>
      </c>
      <c r="F31" t="str">
        <f>"(0.883)"</f>
        <v>(0.883)</v>
      </c>
      <c r="I31" t="str">
        <f>""</f>
        <v/>
      </c>
      <c r="J31" t="str">
        <f>""</f>
        <v/>
      </c>
      <c r="K31" t="str">
        <f>"(0.105)"</f>
        <v>(0.105)</v>
      </c>
      <c r="L31" t="str">
        <f>""</f>
        <v/>
      </c>
      <c r="M31" t="str">
        <f>"(0.079)"</f>
        <v>(0.079)</v>
      </c>
      <c r="N31" t="str">
        <f>"(0.081)"</f>
        <v>(0.081)</v>
      </c>
    </row>
    <row r="33" spans="1:14" x14ac:dyDescent="0.2">
      <c r="A33" t="str">
        <f>"secondary_edu"</f>
        <v>secondary_edu</v>
      </c>
      <c r="B33" t="str">
        <f>""</f>
        <v/>
      </c>
      <c r="C33" t="str">
        <f>"0.675"</f>
        <v>0.675</v>
      </c>
      <c r="D33" t="str">
        <f>""</f>
        <v/>
      </c>
      <c r="E33" t="str">
        <f>"0.727"</f>
        <v>0.727</v>
      </c>
      <c r="F33" t="str">
        <f>"0.974"</f>
        <v>0.974</v>
      </c>
      <c r="I33" t="str">
        <f>"secondary_edu"</f>
        <v>secondary_edu</v>
      </c>
      <c r="J33" t="str">
        <f>""</f>
        <v/>
      </c>
      <c r="K33" t="str">
        <f>"-2.009***"</f>
        <v>-2.009***</v>
      </c>
      <c r="L33" t="str">
        <f>""</f>
        <v/>
      </c>
      <c r="M33" t="str">
        <f>"-1.308***"</f>
        <v>-1.308***</v>
      </c>
      <c r="N33" t="str">
        <f>"-1.148***"</f>
        <v>-1.148***</v>
      </c>
    </row>
    <row r="34" spans="1:14" x14ac:dyDescent="0.2">
      <c r="A34" t="str">
        <f>""</f>
        <v/>
      </c>
      <c r="B34" t="str">
        <f>""</f>
        <v/>
      </c>
      <c r="C34" t="str">
        <f>"(0.964)"</f>
        <v>(0.964)</v>
      </c>
      <c r="D34" t="str">
        <f>""</f>
        <v/>
      </c>
      <c r="E34" t="str">
        <f>"(0.876)"</f>
        <v>(0.876)</v>
      </c>
      <c r="F34" t="str">
        <f>"(0.905)"</f>
        <v>(0.905)</v>
      </c>
      <c r="I34" t="str">
        <f>""</f>
        <v/>
      </c>
      <c r="J34" t="str">
        <f>""</f>
        <v/>
      </c>
      <c r="K34" t="str">
        <f>"(0.071)"</f>
        <v>(0.071)</v>
      </c>
      <c r="L34" t="str">
        <f>""</f>
        <v/>
      </c>
      <c r="M34" t="str">
        <f>"(0.052)"</f>
        <v>(0.052)</v>
      </c>
      <c r="N34" t="str">
        <f>"(0.058)"</f>
        <v>(0.058)</v>
      </c>
    </row>
    <row r="36" spans="1:14" x14ac:dyDescent="0.2">
      <c r="A36" t="str">
        <f>"Res_age"</f>
        <v>Res_age</v>
      </c>
      <c r="B36" t="str">
        <f>""</f>
        <v/>
      </c>
      <c r="C36" t="str">
        <f>"0.355**"</f>
        <v>0.355**</v>
      </c>
      <c r="D36" t="str">
        <f>""</f>
        <v/>
      </c>
      <c r="E36" t="str">
        <f>"0.418***"</f>
        <v>0.418***</v>
      </c>
      <c r="F36" t="str">
        <f>"0.444***"</f>
        <v>0.444***</v>
      </c>
      <c r="I36" t="str">
        <f>"Res_age"</f>
        <v>Res_age</v>
      </c>
      <c r="J36" t="str">
        <f>""</f>
        <v/>
      </c>
      <c r="K36" t="str">
        <f>"0.274***"</f>
        <v>0.274***</v>
      </c>
      <c r="L36" t="str">
        <f>""</f>
        <v/>
      </c>
      <c r="M36" t="str">
        <f>"0.516***"</f>
        <v>0.516***</v>
      </c>
      <c r="N36" t="str">
        <f>"0.574***"</f>
        <v>0.574***</v>
      </c>
    </row>
    <row r="37" spans="1:14" x14ac:dyDescent="0.2">
      <c r="A37" t="str">
        <f>""</f>
        <v/>
      </c>
      <c r="B37" t="str">
        <f>""</f>
        <v/>
      </c>
      <c r="C37" t="str">
        <f>"(0.169)"</f>
        <v>(0.169)</v>
      </c>
      <c r="D37" t="str">
        <f>""</f>
        <v/>
      </c>
      <c r="E37" t="str">
        <f>"(0.160)"</f>
        <v>(0.160)</v>
      </c>
      <c r="F37" t="str">
        <f>"(0.153)"</f>
        <v>(0.153)</v>
      </c>
      <c r="I37" t="str">
        <f>""</f>
        <v/>
      </c>
      <c r="J37" t="str">
        <f>""</f>
        <v/>
      </c>
      <c r="K37" t="str">
        <f>"(0.010)"</f>
        <v>(0.010)</v>
      </c>
      <c r="L37" t="str">
        <f>""</f>
        <v/>
      </c>
      <c r="M37" t="str">
        <f>"(0.008)"</f>
        <v>(0.008)</v>
      </c>
      <c r="N37" t="str">
        <f>"(0.009)"</f>
        <v>(0.009)</v>
      </c>
    </row>
    <row r="39" spans="1:14" x14ac:dyDescent="0.2">
      <c r="A39" t="str">
        <f>"Husband_work"</f>
        <v>Husband_work</v>
      </c>
      <c r="B39" t="str">
        <f>""</f>
        <v/>
      </c>
      <c r="C39" t="str">
        <f>""</f>
        <v/>
      </c>
      <c r="D39" t="str">
        <f>"-0.324"</f>
        <v>-0.324</v>
      </c>
      <c r="E39" t="str">
        <f>""</f>
        <v/>
      </c>
      <c r="F39" t="str">
        <f>"-0.354"</f>
        <v>-0.354</v>
      </c>
      <c r="I39" t="str">
        <f>"Husband_work"</f>
        <v>Husband_work</v>
      </c>
      <c r="J39" t="str">
        <f>""</f>
        <v/>
      </c>
      <c r="K39" t="str">
        <f>""</f>
        <v/>
      </c>
      <c r="L39" t="str">
        <f>"-0.163"</f>
        <v>-0.163</v>
      </c>
      <c r="M39" t="str">
        <f>""</f>
        <v/>
      </c>
      <c r="N39" t="str">
        <f>"0.093"</f>
        <v>0.093</v>
      </c>
    </row>
    <row r="40" spans="1:14" x14ac:dyDescent="0.2">
      <c r="A40" t="str">
        <f>""</f>
        <v/>
      </c>
      <c r="B40" t="str">
        <f>""</f>
        <v/>
      </c>
      <c r="C40" t="str">
        <f>""</f>
        <v/>
      </c>
      <c r="D40" t="str">
        <f>"(0.365)"</f>
        <v>(0.365)</v>
      </c>
      <c r="E40" t="str">
        <f>""</f>
        <v/>
      </c>
      <c r="F40" t="str">
        <f>"(0.371)"</f>
        <v>(0.371)</v>
      </c>
      <c r="I40" t="str">
        <f>""</f>
        <v/>
      </c>
      <c r="J40" t="str">
        <f>""</f>
        <v/>
      </c>
      <c r="K40" t="str">
        <f>""</f>
        <v/>
      </c>
      <c r="L40" t="str">
        <f>"(0.231)"</f>
        <v>(0.231)</v>
      </c>
      <c r="M40" t="str">
        <f>""</f>
        <v/>
      </c>
      <c r="N40" t="str">
        <f>"(0.170)"</f>
        <v>(0.170)</v>
      </c>
    </row>
    <row r="42" spans="1:14" x14ac:dyDescent="0.2">
      <c r="A42" t="str">
        <f>"Husband_no_education"</f>
        <v>Husband_no_education</v>
      </c>
      <c r="B42" t="str">
        <f>""</f>
        <v/>
      </c>
      <c r="C42" t="str">
        <f>""</f>
        <v/>
      </c>
      <c r="D42" t="str">
        <f>"-0.366"</f>
        <v>-0.366</v>
      </c>
      <c r="E42" t="str">
        <f>""</f>
        <v/>
      </c>
      <c r="F42" t="str">
        <f>"-0.173"</f>
        <v>-0.173</v>
      </c>
      <c r="I42" t="str">
        <f>"Husband_no_education"</f>
        <v>Husband_no_education</v>
      </c>
      <c r="J42" t="str">
        <f>""</f>
        <v/>
      </c>
      <c r="K42" t="str">
        <f>""</f>
        <v/>
      </c>
      <c r="L42" t="str">
        <f>"-1.869***"</f>
        <v>-1.869***</v>
      </c>
      <c r="M42" t="str">
        <f>""</f>
        <v/>
      </c>
      <c r="N42" t="str">
        <f>"-0.295***"</f>
        <v>-0.295***</v>
      </c>
    </row>
    <row r="43" spans="1:14" x14ac:dyDescent="0.2">
      <c r="A43" t="str">
        <f>""</f>
        <v/>
      </c>
      <c r="B43" t="str">
        <f>""</f>
        <v/>
      </c>
      <c r="C43" t="str">
        <f>""</f>
        <v/>
      </c>
      <c r="D43" t="str">
        <f>"(0.591)"</f>
        <v>(0.591)</v>
      </c>
      <c r="E43" t="str">
        <f>""</f>
        <v/>
      </c>
      <c r="F43" t="str">
        <f>"(0.490)"</f>
        <v>(0.490)</v>
      </c>
      <c r="I43" t="str">
        <f>""</f>
        <v/>
      </c>
      <c r="J43" t="str">
        <f>""</f>
        <v/>
      </c>
      <c r="K43" t="str">
        <f>""</f>
        <v/>
      </c>
      <c r="L43" t="str">
        <f>"(0.107)"</f>
        <v>(0.107)</v>
      </c>
      <c r="M43" t="str">
        <f>""</f>
        <v/>
      </c>
      <c r="N43" t="str">
        <f>"(0.079)"</f>
        <v>(0.079)</v>
      </c>
    </row>
    <row r="45" spans="1:14" x14ac:dyDescent="0.2">
      <c r="A45" t="str">
        <f>"Husband_primary"</f>
        <v>Husband_primary</v>
      </c>
      <c r="B45" t="str">
        <f>""</f>
        <v/>
      </c>
      <c r="C45" t="str">
        <f>""</f>
        <v/>
      </c>
      <c r="D45" t="str">
        <f>"-0.656"</f>
        <v>-0.656</v>
      </c>
      <c r="E45" t="str">
        <f>""</f>
        <v/>
      </c>
      <c r="F45" t="str">
        <f>"-0.410"</f>
        <v>-0.410</v>
      </c>
      <c r="I45" t="str">
        <f>"Husband_primary"</f>
        <v>Husband_primary</v>
      </c>
      <c r="J45" t="str">
        <f>""</f>
        <v/>
      </c>
      <c r="K45" t="str">
        <f>""</f>
        <v/>
      </c>
      <c r="L45" t="str">
        <f>"-1.738***"</f>
        <v>-1.738***</v>
      </c>
      <c r="M45" t="str">
        <f>""</f>
        <v/>
      </c>
      <c r="N45" t="str">
        <f>"-0.351***"</f>
        <v>-0.351***</v>
      </c>
    </row>
    <row r="46" spans="1:14" x14ac:dyDescent="0.2">
      <c r="A46" t="str">
        <f>""</f>
        <v/>
      </c>
      <c r="B46" t="str">
        <f>""</f>
        <v/>
      </c>
      <c r="C46" t="str">
        <f>""</f>
        <v/>
      </c>
      <c r="D46" t="str">
        <f>"(0.548)"</f>
        <v>(0.548)</v>
      </c>
      <c r="E46" t="str">
        <f>""</f>
        <v/>
      </c>
      <c r="F46" t="str">
        <f>"(0.438)"</f>
        <v>(0.438)</v>
      </c>
      <c r="I46" t="str">
        <f>""</f>
        <v/>
      </c>
      <c r="J46" t="str">
        <f>""</f>
        <v/>
      </c>
      <c r="K46" t="str">
        <f>""</f>
        <v/>
      </c>
      <c r="L46" t="str">
        <f>"(0.088)"</f>
        <v>(0.088)</v>
      </c>
      <c r="M46" t="str">
        <f>""</f>
        <v/>
      </c>
      <c r="N46" t="str">
        <f>"(0.069)"</f>
        <v>(0.069)</v>
      </c>
    </row>
    <row r="48" spans="1:14" x14ac:dyDescent="0.2">
      <c r="A48" t="str">
        <f>"Husband_secondary"</f>
        <v>Husband_secondary</v>
      </c>
      <c r="B48" t="str">
        <f>""</f>
        <v/>
      </c>
      <c r="C48" t="str">
        <f>""</f>
        <v/>
      </c>
      <c r="D48" t="str">
        <f>"-0.662"</f>
        <v>-0.662</v>
      </c>
      <c r="E48" t="str">
        <f>""</f>
        <v/>
      </c>
      <c r="F48" t="str">
        <f>"-0.574"</f>
        <v>-0.574</v>
      </c>
      <c r="I48" t="str">
        <f>"Husband_secondary"</f>
        <v>Husband_secondary</v>
      </c>
      <c r="J48" t="str">
        <f>""</f>
        <v/>
      </c>
      <c r="K48" t="str">
        <f>""</f>
        <v/>
      </c>
      <c r="L48" t="str">
        <f>"-1.073***"</f>
        <v>-1.073***</v>
      </c>
      <c r="M48" t="str">
        <f>""</f>
        <v/>
      </c>
      <c r="N48" t="str">
        <f>"-0.198***"</f>
        <v>-0.198***</v>
      </c>
    </row>
    <row r="49" spans="1:14" x14ac:dyDescent="0.2">
      <c r="A49" t="str">
        <f>""</f>
        <v/>
      </c>
      <c r="B49" t="str">
        <f>""</f>
        <v/>
      </c>
      <c r="C49" t="str">
        <f>""</f>
        <v/>
      </c>
      <c r="D49" t="str">
        <f>"(0.581)"</f>
        <v>(0.581)</v>
      </c>
      <c r="E49" t="str">
        <f>""</f>
        <v/>
      </c>
      <c r="F49" t="str">
        <f>"(0.476)"</f>
        <v>(0.476)</v>
      </c>
      <c r="I49" t="str">
        <f>""</f>
        <v/>
      </c>
      <c r="J49" t="str">
        <f>""</f>
        <v/>
      </c>
      <c r="K49" t="str">
        <f>""</f>
        <v/>
      </c>
      <c r="L49" t="str">
        <f>"(0.072)"</f>
        <v>(0.072)</v>
      </c>
      <c r="M49" t="str">
        <f>""</f>
        <v/>
      </c>
      <c r="N49" t="str">
        <f>"(0.053)"</f>
        <v>(0.053)</v>
      </c>
    </row>
    <row r="51" spans="1:14" x14ac:dyDescent="0.2">
      <c r="A51" t="str">
        <f>"Husband_age"</f>
        <v>Husband_age</v>
      </c>
      <c r="B51" t="str">
        <f>""</f>
        <v/>
      </c>
      <c r="C51" t="str">
        <f>""</f>
        <v/>
      </c>
      <c r="D51" t="str">
        <f>"-0.033***"</f>
        <v>-0.033***</v>
      </c>
      <c r="E51" t="str">
        <f>""</f>
        <v/>
      </c>
      <c r="F51" t="str">
        <f>"-0.033***"</f>
        <v>-0.033***</v>
      </c>
      <c r="I51" t="str">
        <f>"Husband_age"</f>
        <v>Husband_age</v>
      </c>
      <c r="J51" t="str">
        <f>""</f>
        <v/>
      </c>
      <c r="K51" t="str">
        <f>""</f>
        <v/>
      </c>
      <c r="L51" t="str">
        <f>"-0.080***"</f>
        <v>-0.080***</v>
      </c>
      <c r="M51" t="str">
        <f>""</f>
        <v/>
      </c>
      <c r="N51" t="str">
        <f>"-0.085***"</f>
        <v>-0.085***</v>
      </c>
    </row>
    <row r="52" spans="1:14" x14ac:dyDescent="0.2">
      <c r="A52" t="str">
        <f>""</f>
        <v/>
      </c>
      <c r="B52" t="str">
        <f>""</f>
        <v/>
      </c>
      <c r="C52" t="str">
        <f>""</f>
        <v/>
      </c>
      <c r="D52" t="str">
        <f>"(0.012)"</f>
        <v>(0.012)</v>
      </c>
      <c r="E52" t="str">
        <f>""</f>
        <v/>
      </c>
      <c r="F52" t="str">
        <f>"(0.011)"</f>
        <v>(0.011)</v>
      </c>
      <c r="I52" t="str">
        <f>""</f>
        <v/>
      </c>
      <c r="J52" t="str">
        <f>""</f>
        <v/>
      </c>
      <c r="K52" t="str">
        <f>""</f>
        <v/>
      </c>
      <c r="L52" t="str">
        <f>"(0.006)"</f>
        <v>(0.006)</v>
      </c>
      <c r="M52" t="str">
        <f>""</f>
        <v/>
      </c>
      <c r="N52" t="str">
        <f>"(0.005)"</f>
        <v>(0.005)</v>
      </c>
    </row>
    <row r="54" spans="1:14" x14ac:dyDescent="0.2">
      <c r="A54" t="str">
        <f>"Birth_order_number"</f>
        <v>Birth_order_number</v>
      </c>
      <c r="B54" t="str">
        <f>""</f>
        <v/>
      </c>
      <c r="C54" t="str">
        <f>""</f>
        <v/>
      </c>
      <c r="D54" t="str">
        <f>""</f>
        <v/>
      </c>
      <c r="E54" t="str">
        <f>"-0.706***"</f>
        <v>-0.706***</v>
      </c>
      <c r="F54" t="str">
        <f>"-0.676***"</f>
        <v>-0.676***</v>
      </c>
      <c r="I54" t="str">
        <f>"Birth_order_number"</f>
        <v>Birth_order_number</v>
      </c>
      <c r="J54" t="str">
        <f>""</f>
        <v/>
      </c>
      <c r="K54" t="str">
        <f>""</f>
        <v/>
      </c>
      <c r="L54" t="str">
        <f>""</f>
        <v/>
      </c>
      <c r="M54" t="str">
        <f>"-1.736***"</f>
        <v>-1.736***</v>
      </c>
      <c r="N54" t="str">
        <f>"-1.675***"</f>
        <v>-1.675***</v>
      </c>
    </row>
    <row r="55" spans="1:14" x14ac:dyDescent="0.2">
      <c r="A55" t="str">
        <f>""</f>
        <v/>
      </c>
      <c r="B55" t="str">
        <f>""</f>
        <v/>
      </c>
      <c r="C55" t="str">
        <f>""</f>
        <v/>
      </c>
      <c r="D55" t="str">
        <f>""</f>
        <v/>
      </c>
      <c r="E55" t="str">
        <f>"(0.072)"</f>
        <v>(0.072)</v>
      </c>
      <c r="F55" t="str">
        <f>"(0.067)"</f>
        <v>(0.067)</v>
      </c>
      <c r="I55" t="str">
        <f>""</f>
        <v/>
      </c>
      <c r="J55" t="str">
        <f>""</f>
        <v/>
      </c>
      <c r="K55" t="str">
        <f>""</f>
        <v/>
      </c>
      <c r="L55" t="str">
        <f>""</f>
        <v/>
      </c>
      <c r="M55" t="str">
        <f>"(0.023)"</f>
        <v>(0.023)</v>
      </c>
      <c r="N55" t="str">
        <f>"(0.023)"</f>
        <v>(0.023)</v>
      </c>
    </row>
    <row r="57" spans="1:14" x14ac:dyDescent="0.2">
      <c r="A57" t="str">
        <f>"Religion"</f>
        <v>Religion</v>
      </c>
      <c r="B57" t="str">
        <f>""</f>
        <v/>
      </c>
      <c r="C57" t="str">
        <f>""</f>
        <v/>
      </c>
      <c r="D57" t="str">
        <f>""</f>
        <v/>
      </c>
      <c r="E57" t="str">
        <f>"0.420"</f>
        <v>0.420</v>
      </c>
      <c r="F57" t="str">
        <f>"0.402"</f>
        <v>0.402</v>
      </c>
      <c r="I57" t="str">
        <f>"Religion"</f>
        <v>Religion</v>
      </c>
      <c r="J57" t="str">
        <f>""</f>
        <v/>
      </c>
      <c r="K57" t="str">
        <f>""</f>
        <v/>
      </c>
      <c r="L57" t="str">
        <f>""</f>
        <v/>
      </c>
      <c r="M57" t="str">
        <f>"-0.107"</f>
        <v>-0.107</v>
      </c>
      <c r="N57" t="str">
        <f>"-0.109"</f>
        <v>-0.109</v>
      </c>
    </row>
    <row r="58" spans="1:14" x14ac:dyDescent="0.2">
      <c r="A58" t="str">
        <f>""</f>
        <v/>
      </c>
      <c r="B58" t="str">
        <f>""</f>
        <v/>
      </c>
      <c r="C58" t="str">
        <f>""</f>
        <v/>
      </c>
      <c r="D58" t="str">
        <f>""</f>
        <v/>
      </c>
      <c r="E58" t="str">
        <f>"(0.555)"</f>
        <v>(0.555)</v>
      </c>
      <c r="F58" t="str">
        <f>"(0.516)"</f>
        <v>(0.516)</v>
      </c>
      <c r="I58" t="str">
        <f>""</f>
        <v/>
      </c>
      <c r="J58" t="str">
        <f>""</f>
        <v/>
      </c>
      <c r="K58" t="str">
        <f>""</f>
        <v/>
      </c>
      <c r="L58" t="str">
        <f>""</f>
        <v/>
      </c>
      <c r="M58" t="str">
        <f>"(0.106)"</f>
        <v>(0.106)</v>
      </c>
      <c r="N58" t="str">
        <f>"(0.102)"</f>
        <v>(0.102)</v>
      </c>
    </row>
    <row r="60" spans="1:14" x14ac:dyDescent="0.2">
      <c r="A60" t="str">
        <f>"Constant"</f>
        <v>Constant</v>
      </c>
      <c r="B60" t="str">
        <f>"16.857***"</f>
        <v>16.857***</v>
      </c>
      <c r="C60" t="str">
        <f>"9.702***"</f>
        <v>9.702***</v>
      </c>
      <c r="D60" t="str">
        <f>"18.618***"</f>
        <v>18.618***</v>
      </c>
      <c r="E60" t="str">
        <f>"8.790***"</f>
        <v>8.790***</v>
      </c>
      <c r="F60" t="str">
        <f>"9.778***"</f>
        <v>9.778***</v>
      </c>
      <c r="I60" t="str">
        <f>"Constant"</f>
        <v>Constant</v>
      </c>
      <c r="J60" t="str">
        <f>"21.890***"</f>
        <v>21.890***</v>
      </c>
      <c r="K60" t="str">
        <f>"15.157***"</f>
        <v>15.157***</v>
      </c>
      <c r="L60" t="str">
        <f>"25.506***"</f>
        <v>25.506***</v>
      </c>
      <c r="M60" t="str">
        <f>"11.330***"</f>
        <v>11.330***</v>
      </c>
      <c r="N60" t="str">
        <f>"12.455***"</f>
        <v>12.455***</v>
      </c>
    </row>
    <row r="61" spans="1:14" x14ac:dyDescent="0.2">
      <c r="A61" t="str">
        <f>""</f>
        <v/>
      </c>
      <c r="B61" t="str">
        <f>"(0.399)"</f>
        <v>(0.399)</v>
      </c>
      <c r="C61" t="str">
        <f>"(3.339)"</f>
        <v>(3.339)</v>
      </c>
      <c r="D61" t="str">
        <f>"(0.889)"</f>
        <v>(0.889)</v>
      </c>
      <c r="E61" t="str">
        <f>"(3.177)"</f>
        <v>(3.177)</v>
      </c>
      <c r="F61" t="str">
        <f>"(3.005)"</f>
        <v>(3.005)</v>
      </c>
      <c r="I61" t="str">
        <f>""</f>
        <v/>
      </c>
      <c r="J61" t="str">
        <f>"(0.088)"</f>
        <v>(0.088)</v>
      </c>
      <c r="K61" t="str">
        <f>"(0.313)"</f>
        <v>(0.313)</v>
      </c>
      <c r="L61" t="str">
        <f>"(0.326)"</f>
        <v>(0.326)</v>
      </c>
      <c r="M61" t="str">
        <f>"(0.252)"</f>
        <v>(0.252)</v>
      </c>
      <c r="N61" t="str">
        <f>"(0.313)"</f>
        <v>(0.313)</v>
      </c>
    </row>
    <row r="63" spans="1:14" x14ac:dyDescent="0.2">
      <c r="A63" t="str">
        <f>"Observations"</f>
        <v>Observations</v>
      </c>
      <c r="B63" t="str">
        <f>"840"</f>
        <v>840</v>
      </c>
      <c r="C63" t="str">
        <f>"840"</f>
        <v>840</v>
      </c>
      <c r="D63" t="str">
        <f>"826"</f>
        <v>826</v>
      </c>
      <c r="E63" t="str">
        <f>"840"</f>
        <v>840</v>
      </c>
      <c r="F63" t="str">
        <f>"826"</f>
        <v>826</v>
      </c>
      <c r="I63" t="str">
        <f>"Observations"</f>
        <v>Observations</v>
      </c>
      <c r="J63" t="str">
        <f>"38118"</f>
        <v>38118</v>
      </c>
      <c r="K63" t="str">
        <f>"38118"</f>
        <v>38118</v>
      </c>
      <c r="L63" t="str">
        <f>"37793"</f>
        <v>37793</v>
      </c>
      <c r="M63" t="str">
        <f>"38087"</f>
        <v>38087</v>
      </c>
      <c r="N63" t="str">
        <f>"37762"</f>
        <v>37762</v>
      </c>
    </row>
    <row r="64" spans="1:14" x14ac:dyDescent="0.2">
      <c r="A64" t="str">
        <f>"Adjusted R-squared"</f>
        <v>Adjusted R-squared</v>
      </c>
      <c r="B64" t="str">
        <f>"0.436"</f>
        <v>0.436</v>
      </c>
      <c r="C64" t="str">
        <f>"0.461"</f>
        <v>0.461</v>
      </c>
      <c r="D64" t="str">
        <f>"0.450"</f>
        <v>0.450</v>
      </c>
      <c r="E64" t="str">
        <f>"0.503"</f>
        <v>0.503</v>
      </c>
      <c r="F64" t="str">
        <f>"0.520"</f>
        <v>0.520</v>
      </c>
      <c r="I64" t="str">
        <f>"Adjusted R-squared"</f>
        <v>Adjusted R-squared</v>
      </c>
      <c r="J64" t="str">
        <f>"0.267"</f>
        <v>0.267</v>
      </c>
      <c r="K64" t="str">
        <f>"0.358"</f>
        <v>0.358</v>
      </c>
      <c r="L64" t="str">
        <f>"0.299"</f>
        <v>0.299</v>
      </c>
      <c r="M64" t="str">
        <f>"0.619"</f>
        <v>0.619</v>
      </c>
      <c r="N64" t="str">
        <f>"0.632"</f>
        <v>0.632</v>
      </c>
    </row>
    <row r="66" spans="1:11" x14ac:dyDescent="0.2">
      <c r="A66" t="str">
        <f>"Standard errors in parentheses"</f>
        <v>Standard errors in parentheses</v>
      </c>
      <c r="I66" t="str">
        <f>"Standard errors in parentheses"</f>
        <v>Standard errors in parentheses</v>
      </c>
    </row>
    <row r="67" spans="1:11" x14ac:dyDescent="0.2">
      <c r="A67" t="s">
        <v>0</v>
      </c>
      <c r="B67" t="s">
        <v>1</v>
      </c>
      <c r="C67" t="s">
        <v>2</v>
      </c>
      <c r="I67" t="s">
        <v>0</v>
      </c>
      <c r="J67" t="s">
        <v>1</v>
      </c>
      <c r="K67" t="s">
        <v>2</v>
      </c>
    </row>
  </sheetData>
  <mergeCells count="2">
    <mergeCell ref="A2:G2"/>
    <mergeCell ref="I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9653-A9C4-F045-890A-5C169110B5A0}">
  <dimension ref="A3:L47"/>
  <sheetViews>
    <sheetView workbookViewId="0">
      <selection activeCell="H4" sqref="H4:L47"/>
    </sheetView>
  </sheetViews>
  <sheetFormatPr baseColWidth="10" defaultRowHeight="16" x14ac:dyDescent="0.2"/>
  <cols>
    <col min="5" max="5" width="17" bestFit="1" customWidth="1"/>
  </cols>
  <sheetData>
    <row r="3" spans="1:12" x14ac:dyDescent="0.2">
      <c r="A3" s="1" t="s">
        <v>3</v>
      </c>
      <c r="B3" s="1"/>
      <c r="C3" s="1"/>
      <c r="D3" s="1"/>
      <c r="E3" s="1"/>
      <c r="H3" s="1" t="s">
        <v>4</v>
      </c>
      <c r="I3" s="1"/>
      <c r="J3" s="1"/>
      <c r="K3" s="1"/>
      <c r="L3" s="1"/>
    </row>
    <row r="4" spans="1:12" x14ac:dyDescent="0.2">
      <c r="A4" t="str">
        <f>""</f>
        <v/>
      </c>
      <c r="B4" t="str">
        <f>"(1)"</f>
        <v>(1)</v>
      </c>
      <c r="C4" t="str">
        <f>"(2)"</f>
        <v>(2)</v>
      </c>
      <c r="D4" t="str">
        <f>"(3)"</f>
        <v>(3)</v>
      </c>
      <c r="E4" t="str">
        <f>"(4)"</f>
        <v>(4)</v>
      </c>
      <c r="H4" t="str">
        <f>""</f>
        <v/>
      </c>
      <c r="I4" t="str">
        <f>"(1)"</f>
        <v>(1)</v>
      </c>
      <c r="J4" t="str">
        <f>"(2)"</f>
        <v>(2)</v>
      </c>
      <c r="K4" t="str">
        <f>"(3)"</f>
        <v>(3)</v>
      </c>
      <c r="L4" t="str">
        <f>"(4)"</f>
        <v>(4)</v>
      </c>
    </row>
    <row r="5" spans="1:12" x14ac:dyDescent="0.2">
      <c r="A5" t="str">
        <f>""</f>
        <v/>
      </c>
      <c r="B5" t="str">
        <f>"no_edu"</f>
        <v>no_edu</v>
      </c>
      <c r="C5" t="str">
        <f>"primary_edu"</f>
        <v>primary_edu</v>
      </c>
      <c r="D5" t="str">
        <f>"secondary_edu"</f>
        <v>secondary_edu</v>
      </c>
      <c r="E5" t="str">
        <f>"postsecondaty_edu"</f>
        <v>postsecondaty_edu</v>
      </c>
      <c r="H5" t="str">
        <f>""</f>
        <v/>
      </c>
      <c r="I5" t="str">
        <f>"no_edu"</f>
        <v>no_edu</v>
      </c>
      <c r="J5" t="str">
        <f>"primary_edu"</f>
        <v>primary_edu</v>
      </c>
      <c r="K5" t="str">
        <f>"secondary_edu"</f>
        <v>secondary_edu</v>
      </c>
      <c r="L5" t="str">
        <f>"postsecondaty_edu"</f>
        <v>postsecondaty_edu</v>
      </c>
    </row>
    <row r="7" spans="1:12" x14ac:dyDescent="0.2">
      <c r="A7" t="str">
        <f>"past_group"</f>
        <v>past_group</v>
      </c>
      <c r="B7" t="str">
        <f>"-0.091"</f>
        <v>-0.091</v>
      </c>
      <c r="C7" t="str">
        <f>"-0.161"</f>
        <v>-0.161</v>
      </c>
      <c r="D7" t="str">
        <f>"0.308*"</f>
        <v>0.308*</v>
      </c>
      <c r="E7" t="str">
        <f>"-0.057"</f>
        <v>-0.057</v>
      </c>
      <c r="H7" t="str">
        <f>"past_group"</f>
        <v>past_group</v>
      </c>
      <c r="I7" t="str">
        <f>"-0.005"</f>
        <v>-0.005</v>
      </c>
      <c r="J7" t="str">
        <f>"-0.001"</f>
        <v>-0.001</v>
      </c>
      <c r="K7" t="str">
        <f>"-0.010"</f>
        <v>-0.010</v>
      </c>
      <c r="L7" t="str">
        <f>"0.016*"</f>
        <v>0.016*</v>
      </c>
    </row>
    <row r="8" spans="1:12" x14ac:dyDescent="0.2">
      <c r="A8" t="str">
        <f>""</f>
        <v/>
      </c>
      <c r="B8" t="str">
        <f>"(0.139)"</f>
        <v>(0.139)</v>
      </c>
      <c r="C8" t="str">
        <f>"(0.146)"</f>
        <v>(0.146)</v>
      </c>
      <c r="D8" t="str">
        <f>"(0.186)"</f>
        <v>(0.186)</v>
      </c>
      <c r="E8" t="str">
        <f>"(0.046)"</f>
        <v>(0.046)</v>
      </c>
      <c r="H8" t="str">
        <f>""</f>
        <v/>
      </c>
      <c r="I8" t="str">
        <f>"(0.012)"</f>
        <v>(0.012)</v>
      </c>
      <c r="J8" t="str">
        <f>"(0.009)"</f>
        <v>(0.009)</v>
      </c>
      <c r="K8" t="str">
        <f>"(0.015)"</f>
        <v>(0.015)</v>
      </c>
      <c r="L8" t="str">
        <f>"(0.009)"</f>
        <v>(0.009)</v>
      </c>
    </row>
    <row r="10" spans="1:12" x14ac:dyDescent="0.2">
      <c r="A10" t="str">
        <f>"TC_noborder"</f>
        <v>TC_noborder</v>
      </c>
      <c r="B10" t="str">
        <f>"0.148*"</f>
        <v>0.148*</v>
      </c>
      <c r="C10" t="str">
        <f>"0.054"</f>
        <v>0.054</v>
      </c>
      <c r="D10" t="str">
        <f>"-0.279***"</f>
        <v>-0.279***</v>
      </c>
      <c r="E10" t="str">
        <f>"0.078"</f>
        <v>0.078</v>
      </c>
      <c r="H10" t="str">
        <f>"TC_noborder"</f>
        <v>TC_noborder</v>
      </c>
      <c r="I10" t="str">
        <f>"0.017"</f>
        <v>0.017</v>
      </c>
      <c r="J10" t="str">
        <f>"0.016**"</f>
        <v>0.016**</v>
      </c>
      <c r="K10" t="str">
        <f>"-0.027**"</f>
        <v>-0.027**</v>
      </c>
      <c r="L10" t="str">
        <f>"-0.006"</f>
        <v>-0.006</v>
      </c>
    </row>
    <row r="11" spans="1:12" x14ac:dyDescent="0.2">
      <c r="A11" t="str">
        <f>""</f>
        <v/>
      </c>
      <c r="B11" t="str">
        <f>"(0.083)"</f>
        <v>(0.083)</v>
      </c>
      <c r="C11" t="str">
        <f>"(0.059)"</f>
        <v>(0.059)</v>
      </c>
      <c r="D11" t="str">
        <f>"(0.086)"</f>
        <v>(0.086)</v>
      </c>
      <c r="E11" t="str">
        <f>"(0.048)"</f>
        <v>(0.048)</v>
      </c>
      <c r="H11" t="str">
        <f>""</f>
        <v/>
      </c>
      <c r="I11" t="str">
        <f>"(0.011)"</f>
        <v>(0.011)</v>
      </c>
      <c r="J11" t="str">
        <f>"(0.007)"</f>
        <v>(0.007)</v>
      </c>
      <c r="K11" t="str">
        <f>"(0.012)"</f>
        <v>(0.012)</v>
      </c>
      <c r="L11" t="str">
        <f>"(0.007)"</f>
        <v>(0.007)</v>
      </c>
    </row>
    <row r="13" spans="1:12" x14ac:dyDescent="0.2">
      <c r="A13" t="str">
        <f>"Respondent_work"</f>
        <v>Respondent_work</v>
      </c>
      <c r="B13" t="str">
        <f>"0.207*"</f>
        <v>0.207*</v>
      </c>
      <c r="C13" t="str">
        <f>"-0.094"</f>
        <v>-0.094</v>
      </c>
      <c r="D13" t="str">
        <f>"-0.108"</f>
        <v>-0.108</v>
      </c>
      <c r="E13" t="str">
        <f>"-0.005"</f>
        <v>-0.005</v>
      </c>
      <c r="H13" t="str">
        <f>"Respondent_work"</f>
        <v>Respondent_work</v>
      </c>
      <c r="I13" t="str">
        <f>"-0.023***"</f>
        <v>-0.023***</v>
      </c>
      <c r="J13" t="str">
        <f>"-0.018***"</f>
        <v>-0.018***</v>
      </c>
      <c r="K13" t="str">
        <f>"-0.091***"</f>
        <v>-0.091***</v>
      </c>
      <c r="L13" t="str">
        <f>"0.132***"</f>
        <v>0.132***</v>
      </c>
    </row>
    <row r="14" spans="1:12" x14ac:dyDescent="0.2">
      <c r="A14" t="str">
        <f>""</f>
        <v/>
      </c>
      <c r="B14" t="str">
        <f>"(0.110)"</f>
        <v>(0.110)</v>
      </c>
      <c r="C14" t="str">
        <f>"(0.062)"</f>
        <v>(0.062)</v>
      </c>
      <c r="D14" t="str">
        <f>"(0.104)"</f>
        <v>(0.104)</v>
      </c>
      <c r="E14" t="str">
        <f>"(0.014)"</f>
        <v>(0.014)</v>
      </c>
      <c r="H14" t="str">
        <f>""</f>
        <v/>
      </c>
      <c r="I14" t="str">
        <f>"(0.007)"</f>
        <v>(0.007)</v>
      </c>
      <c r="J14" t="str">
        <f>"(0.006)"</f>
        <v>(0.006)</v>
      </c>
      <c r="K14" t="str">
        <f>"(0.013)"</f>
        <v>(0.013)</v>
      </c>
      <c r="L14" t="str">
        <f>"(0.010)"</f>
        <v>(0.010)</v>
      </c>
    </row>
    <row r="16" spans="1:12" x14ac:dyDescent="0.2">
      <c r="A16" t="str">
        <f>"Res_age"</f>
        <v>Res_age</v>
      </c>
      <c r="B16" t="str">
        <f>"0.010"</f>
        <v>0.010</v>
      </c>
      <c r="C16" t="str">
        <f>"0.008"</f>
        <v>0.008</v>
      </c>
      <c r="D16" t="str">
        <f>"-0.027"</f>
        <v>-0.027</v>
      </c>
      <c r="E16" t="str">
        <f>"0.009"</f>
        <v>0.009</v>
      </c>
      <c r="H16" t="str">
        <f>"Res_age"</f>
        <v>Res_age</v>
      </c>
      <c r="I16" t="str">
        <f>"-0.013***"</f>
        <v>-0.013***</v>
      </c>
      <c r="J16" t="str">
        <f>"-0.003***"</f>
        <v>-0.003***</v>
      </c>
      <c r="K16" t="str">
        <f>"0.003*"</f>
        <v>0.003*</v>
      </c>
      <c r="L16" t="str">
        <f>"0.013***"</f>
        <v>0.013***</v>
      </c>
    </row>
    <row r="17" spans="1:12" x14ac:dyDescent="0.2">
      <c r="A17" t="str">
        <f>""</f>
        <v/>
      </c>
      <c r="B17" t="str">
        <f>"(0.040)"</f>
        <v>(0.040)</v>
      </c>
      <c r="C17" t="str">
        <f>"(0.033)"</f>
        <v>(0.033)</v>
      </c>
      <c r="D17" t="str">
        <f>"(0.046)"</f>
        <v>(0.046)</v>
      </c>
      <c r="E17" t="str">
        <f>"(0.013)"</f>
        <v>(0.013)</v>
      </c>
      <c r="H17" t="str">
        <f>""</f>
        <v/>
      </c>
      <c r="I17" t="str">
        <f>"(0.001)"</f>
        <v>(0.001)</v>
      </c>
      <c r="J17" t="str">
        <f>"(0.001)"</f>
        <v>(0.001)</v>
      </c>
      <c r="K17" t="str">
        <f>"(0.002)"</f>
        <v>(0.002)</v>
      </c>
      <c r="L17" t="str">
        <f>"(0.001)"</f>
        <v>(0.001)</v>
      </c>
    </row>
    <row r="19" spans="1:12" x14ac:dyDescent="0.2">
      <c r="A19" t="str">
        <f>"Husband_work"</f>
        <v>Husband_work</v>
      </c>
      <c r="B19" t="str">
        <f>"-0.093"</f>
        <v>-0.093</v>
      </c>
      <c r="C19" t="str">
        <f>"0.022"</f>
        <v>0.022</v>
      </c>
      <c r="D19" t="str">
        <f>"0.047"</f>
        <v>0.047</v>
      </c>
      <c r="E19" t="str">
        <f>"0.023"</f>
        <v>0.023</v>
      </c>
      <c r="H19" t="str">
        <f>"Husband_work"</f>
        <v>Husband_work</v>
      </c>
      <c r="I19" t="str">
        <f>"-0.048**"</f>
        <v>-0.048**</v>
      </c>
      <c r="J19" t="str">
        <f>"-0.009"</f>
        <v>-0.009</v>
      </c>
      <c r="K19" t="str">
        <f>"0.043*"</f>
        <v>0.043*</v>
      </c>
      <c r="L19" t="str">
        <f>"0.013"</f>
        <v>0.013</v>
      </c>
    </row>
    <row r="20" spans="1:12" x14ac:dyDescent="0.2">
      <c r="A20" t="str">
        <f>""</f>
        <v/>
      </c>
      <c r="B20" t="str">
        <f>"(0.194)"</f>
        <v>(0.194)</v>
      </c>
      <c r="C20" t="str">
        <f>"(0.171)"</f>
        <v>(0.171)</v>
      </c>
      <c r="D20" t="str">
        <f>"(0.129)"</f>
        <v>(0.129)</v>
      </c>
      <c r="E20" t="str">
        <f>"(0.036)"</f>
        <v>(0.036)</v>
      </c>
      <c r="H20" t="str">
        <f>""</f>
        <v/>
      </c>
      <c r="I20" t="str">
        <f>"(0.021)"</f>
        <v>(0.021)</v>
      </c>
      <c r="J20" t="str">
        <f>"(0.019)"</f>
        <v>(0.019)</v>
      </c>
      <c r="K20" t="str">
        <f>"(0.026)"</f>
        <v>(0.026)</v>
      </c>
      <c r="L20" t="str">
        <f>"(0.017)"</f>
        <v>(0.017)</v>
      </c>
    </row>
    <row r="22" spans="1:12" x14ac:dyDescent="0.2">
      <c r="A22" t="str">
        <f>"Husband_no_education"</f>
        <v>Husband_no_education</v>
      </c>
      <c r="B22" t="str">
        <f>"0.432***"</f>
        <v>0.432***</v>
      </c>
      <c r="C22" t="str">
        <f>"0.290***"</f>
        <v>0.290***</v>
      </c>
      <c r="D22" t="str">
        <f>"-0.526***"</f>
        <v>-0.526***</v>
      </c>
      <c r="E22" t="str">
        <f>"-0.196**"</f>
        <v>-0.196**</v>
      </c>
      <c r="H22" t="str">
        <f>"Husband_no_education"</f>
        <v>Husband_no_education</v>
      </c>
      <c r="I22" t="str">
        <f>"0.518***"</f>
        <v>0.518***</v>
      </c>
      <c r="J22" t="str">
        <f>"0.082***"</f>
        <v>0.082***</v>
      </c>
      <c r="K22" t="str">
        <f>"-0.123***"</f>
        <v>-0.123***</v>
      </c>
      <c r="L22" t="str">
        <f>"-0.477***"</f>
        <v>-0.477***</v>
      </c>
    </row>
    <row r="23" spans="1:12" x14ac:dyDescent="0.2">
      <c r="A23" t="str">
        <f>""</f>
        <v/>
      </c>
      <c r="B23" t="str">
        <f>"(0.104)"</f>
        <v>(0.104)</v>
      </c>
      <c r="C23" t="str">
        <f>"(0.094)"</f>
        <v>(0.094)</v>
      </c>
      <c r="D23" t="str">
        <f>"(0.130)"</f>
        <v>(0.130)</v>
      </c>
      <c r="E23" t="str">
        <f>"(0.083)"</f>
        <v>(0.083)</v>
      </c>
      <c r="H23" t="str">
        <f>""</f>
        <v/>
      </c>
      <c r="I23" t="str">
        <f>"(0.011)"</f>
        <v>(0.011)</v>
      </c>
      <c r="J23" t="str">
        <f>"(0.008)"</f>
        <v>(0.008)</v>
      </c>
      <c r="K23" t="str">
        <f>"(0.015)"</f>
        <v>(0.015)</v>
      </c>
      <c r="L23" t="str">
        <f>"(0.011)"</f>
        <v>(0.011)</v>
      </c>
    </row>
    <row r="25" spans="1:12" x14ac:dyDescent="0.2">
      <c r="A25" t="str">
        <f>"Husband_primary"</f>
        <v>Husband_primary</v>
      </c>
      <c r="B25" t="str">
        <f>"0.334***"</f>
        <v>0.334***</v>
      </c>
      <c r="C25" t="str">
        <f>"0.292***"</f>
        <v>0.292***</v>
      </c>
      <c r="D25" t="str">
        <f>"-0.451***"</f>
        <v>-0.451***</v>
      </c>
      <c r="E25" t="str">
        <f>"-0.175**"</f>
        <v>-0.175**</v>
      </c>
      <c r="H25" t="str">
        <f>"Husband_primary"</f>
        <v>Husband_primary</v>
      </c>
      <c r="I25" t="str">
        <f>"0.282***"</f>
        <v>0.282***</v>
      </c>
      <c r="J25" t="str">
        <f>"0.211***"</f>
        <v>0.211***</v>
      </c>
      <c r="K25" t="str">
        <f>"-0.006"</f>
        <v>-0.006</v>
      </c>
      <c r="L25" t="str">
        <f>"-0.487***"</f>
        <v>-0.487***</v>
      </c>
    </row>
    <row r="26" spans="1:12" x14ac:dyDescent="0.2">
      <c r="A26" t="str">
        <f>""</f>
        <v/>
      </c>
      <c r="B26" t="str">
        <f>"(0.106)"</f>
        <v>(0.106)</v>
      </c>
      <c r="C26" t="str">
        <f>"(0.098)"</f>
        <v>(0.098)</v>
      </c>
      <c r="D26" t="str">
        <f>"(0.129)"</f>
        <v>(0.129)</v>
      </c>
      <c r="E26" t="str">
        <f>"(0.085)"</f>
        <v>(0.085)</v>
      </c>
      <c r="H26" t="str">
        <f>""</f>
        <v/>
      </c>
      <c r="I26" t="str">
        <f>"(0.010)"</f>
        <v>(0.010)</v>
      </c>
      <c r="J26" t="str">
        <f>"(0.009)"</f>
        <v>(0.009)</v>
      </c>
      <c r="K26" t="str">
        <f>"(0.015)"</f>
        <v>(0.015)</v>
      </c>
      <c r="L26" t="str">
        <f>"(0.011)"</f>
        <v>(0.011)</v>
      </c>
    </row>
    <row r="28" spans="1:12" x14ac:dyDescent="0.2">
      <c r="A28" t="str">
        <f>"Husband_secondary"</f>
        <v>Husband_secondary</v>
      </c>
      <c r="B28" t="str">
        <f>"0.165*"</f>
        <v>0.165*</v>
      </c>
      <c r="C28" t="str">
        <f>"0.160*"</f>
        <v>0.160*</v>
      </c>
      <c r="D28" t="str">
        <f>"-0.140"</f>
        <v>-0.140</v>
      </c>
      <c r="E28" t="str">
        <f>"-0.185**"</f>
        <v>-0.185**</v>
      </c>
      <c r="H28" t="str">
        <f>"Husband_secondary"</f>
        <v>Husband_secondary</v>
      </c>
      <c r="I28" t="str">
        <f>"0.102***"</f>
        <v>0.102***</v>
      </c>
      <c r="J28" t="str">
        <f>"0.059***"</f>
        <v>0.059***</v>
      </c>
      <c r="K28" t="str">
        <f>"0.276***"</f>
        <v>0.276***</v>
      </c>
      <c r="L28" t="str">
        <f>"-0.437***"</f>
        <v>-0.437***</v>
      </c>
    </row>
    <row r="29" spans="1:12" x14ac:dyDescent="0.2">
      <c r="A29" t="str">
        <f>""</f>
        <v/>
      </c>
      <c r="B29" t="str">
        <f>"(0.088)"</f>
        <v>(0.088)</v>
      </c>
      <c r="C29" t="str">
        <f>"(0.087)"</f>
        <v>(0.087)</v>
      </c>
      <c r="D29" t="str">
        <f>"(0.121)"</f>
        <v>(0.121)</v>
      </c>
      <c r="E29" t="str">
        <f>"(0.082)"</f>
        <v>(0.082)</v>
      </c>
      <c r="H29" t="str">
        <f>""</f>
        <v/>
      </c>
      <c r="I29" t="str">
        <f>"(0.006)"</f>
        <v>(0.006)</v>
      </c>
      <c r="J29" t="str">
        <f>"(0.004)"</f>
        <v>(0.004)</v>
      </c>
      <c r="K29" t="str">
        <f>"(0.012)"</f>
        <v>(0.012)</v>
      </c>
      <c r="L29" t="str">
        <f>"(0.011)"</f>
        <v>(0.011)</v>
      </c>
    </row>
    <row r="31" spans="1:12" x14ac:dyDescent="0.2">
      <c r="A31" t="str">
        <f>"Husband_age"</f>
        <v>Husband_age</v>
      </c>
      <c r="B31" t="str">
        <f>"0.002"</f>
        <v>0.002</v>
      </c>
      <c r="C31" t="str">
        <f>"0.000"</f>
        <v>0.000</v>
      </c>
      <c r="D31" t="str">
        <f>"-0.002"</f>
        <v>-0.002</v>
      </c>
      <c r="E31" t="str">
        <f>"-0.001"</f>
        <v>-0.001</v>
      </c>
      <c r="H31" t="str">
        <f>"Husband_age"</f>
        <v>Husband_age</v>
      </c>
      <c r="I31" t="str">
        <f>"-0.001***"</f>
        <v>-0.001***</v>
      </c>
      <c r="J31" t="str">
        <f>"0.000"</f>
        <v>0.000</v>
      </c>
      <c r="K31" t="str">
        <f>"0.003***"</f>
        <v>0.003***</v>
      </c>
      <c r="L31" t="str">
        <f>"-0.002***"</f>
        <v>-0.002***</v>
      </c>
    </row>
    <row r="32" spans="1:12" x14ac:dyDescent="0.2">
      <c r="A32" t="str">
        <f>""</f>
        <v/>
      </c>
      <c r="B32" t="str">
        <f>"(0.004)"</f>
        <v>(0.004)</v>
      </c>
      <c r="C32" t="str">
        <f>"(0.003)"</f>
        <v>(0.003)</v>
      </c>
      <c r="D32" t="str">
        <f>"(0.005)"</f>
        <v>(0.005)</v>
      </c>
      <c r="E32" t="str">
        <f>"(0.001)"</f>
        <v>(0.001)</v>
      </c>
      <c r="H32" t="str">
        <f>""</f>
        <v/>
      </c>
      <c r="I32" t="str">
        <f>"(0.001)"</f>
        <v>(0.001)</v>
      </c>
      <c r="J32" t="str">
        <f>"(0.000)"</f>
        <v>(0.000)</v>
      </c>
      <c r="K32" t="str">
        <f>"(0.001)"</f>
        <v>(0.001)</v>
      </c>
      <c r="L32" t="str">
        <f>"(0.000)"</f>
        <v>(0.000)</v>
      </c>
    </row>
    <row r="34" spans="1:12" x14ac:dyDescent="0.2">
      <c r="A34" t="str">
        <f>"Birth_order_number"</f>
        <v>Birth_order_number</v>
      </c>
      <c r="B34" t="str">
        <f>"0.083***"</f>
        <v>0.083***</v>
      </c>
      <c r="C34" t="str">
        <f>"-0.011"</f>
        <v>-0.011</v>
      </c>
      <c r="D34" t="str">
        <f>"-0.066**"</f>
        <v>-0.066**</v>
      </c>
      <c r="E34" t="str">
        <f>"-0.006"</f>
        <v>-0.006</v>
      </c>
      <c r="H34" t="str">
        <f>"Birth_order_number"</f>
        <v>Birth_order_number</v>
      </c>
      <c r="I34" t="str">
        <f>"0.040***"</f>
        <v>0.040***</v>
      </c>
      <c r="J34" t="str">
        <f>"0.013***"</f>
        <v>0.013***</v>
      </c>
      <c r="K34" t="str">
        <f>"-0.025***"</f>
        <v>-0.025***</v>
      </c>
      <c r="L34" t="str">
        <f>"-0.027***"</f>
        <v>-0.027***</v>
      </c>
    </row>
    <row r="35" spans="1:12" x14ac:dyDescent="0.2">
      <c r="A35" t="str">
        <f>""</f>
        <v/>
      </c>
      <c r="B35" t="str">
        <f>"(0.031)"</f>
        <v>(0.031)</v>
      </c>
      <c r="C35" t="str">
        <f>"(0.024)"</f>
        <v>(0.024)</v>
      </c>
      <c r="D35" t="str">
        <f>"(0.026)"</f>
        <v>(0.026)</v>
      </c>
      <c r="E35" t="str">
        <f>"(0.007)"</f>
        <v>(0.007)</v>
      </c>
      <c r="H35" t="str">
        <f>""</f>
        <v/>
      </c>
      <c r="I35" t="str">
        <f>"(0.002)"</f>
        <v>(0.002)</v>
      </c>
      <c r="J35" t="str">
        <f>"(0.002)"</f>
        <v>(0.002)</v>
      </c>
      <c r="K35" t="str">
        <f>"(0.003)"</f>
        <v>(0.003)</v>
      </c>
      <c r="L35" t="str">
        <f>"(0.001)"</f>
        <v>(0.001)</v>
      </c>
    </row>
    <row r="37" spans="1:12" x14ac:dyDescent="0.2">
      <c r="A37" t="str">
        <f>"Religion"</f>
        <v>Religion</v>
      </c>
      <c r="B37" t="str">
        <f>"-0.028"</f>
        <v>-0.028</v>
      </c>
      <c r="C37" t="str">
        <f>"0.029"</f>
        <v>0.029</v>
      </c>
      <c r="D37" t="str">
        <f>"-0.021"</f>
        <v>-0.021</v>
      </c>
      <c r="E37" t="str">
        <f>"0.020"</f>
        <v>0.020</v>
      </c>
      <c r="H37" t="str">
        <f>"Religion"</f>
        <v>Religion</v>
      </c>
      <c r="I37" t="str">
        <f>"-0.008"</f>
        <v>-0.008</v>
      </c>
      <c r="J37" t="str">
        <f>"0.030***"</f>
        <v>0.030***</v>
      </c>
      <c r="K37" t="str">
        <f>"-0.009"</f>
        <v>-0.009</v>
      </c>
      <c r="L37" t="str">
        <f>"-0.013"</f>
        <v>-0.013</v>
      </c>
    </row>
    <row r="38" spans="1:12" x14ac:dyDescent="0.2">
      <c r="A38" t="str">
        <f>""</f>
        <v/>
      </c>
      <c r="B38" t="str">
        <f>"(0.143)"</f>
        <v>(0.143)</v>
      </c>
      <c r="C38" t="str">
        <f>"(0.075)"</f>
        <v>(0.075)</v>
      </c>
      <c r="D38" t="str">
        <f>"(0.158)"</f>
        <v>(0.158)</v>
      </c>
      <c r="E38" t="str">
        <f>"(0.017)"</f>
        <v>(0.017)</v>
      </c>
      <c r="H38" t="str">
        <f>""</f>
        <v/>
      </c>
      <c r="I38" t="str">
        <f>"(0.016)"</f>
        <v>(0.016)</v>
      </c>
      <c r="J38" t="str">
        <f>"(0.011)"</f>
        <v>(0.011)</v>
      </c>
      <c r="K38" t="str">
        <f>"(0.018)"</f>
        <v>(0.018)</v>
      </c>
      <c r="L38" t="str">
        <f>"(0.010)"</f>
        <v>(0.010)</v>
      </c>
    </row>
    <row r="40" spans="1:12" x14ac:dyDescent="0.2">
      <c r="A40" t="str">
        <f>"Constant"</f>
        <v>Constant</v>
      </c>
      <c r="B40" t="str">
        <f>"-0.257"</f>
        <v>-0.257</v>
      </c>
      <c r="C40" t="str">
        <f>"-0.251"</f>
        <v>-0.251</v>
      </c>
      <c r="D40" t="str">
        <f>"1.517"</f>
        <v>1.517</v>
      </c>
      <c r="E40" t="str">
        <f>"-0.008"</f>
        <v>-0.008</v>
      </c>
      <c r="H40" t="str">
        <f>"Constant"</f>
        <v>Constant</v>
      </c>
      <c r="I40" t="str">
        <f>"0.451***"</f>
        <v>0.451***</v>
      </c>
      <c r="J40" t="str">
        <f>"0.037"</f>
        <v>0.037</v>
      </c>
      <c r="K40" t="str">
        <f>"0.237***"</f>
        <v>0.237***</v>
      </c>
      <c r="L40" t="str">
        <f>"0.275***"</f>
        <v>0.275***</v>
      </c>
    </row>
    <row r="41" spans="1:12" x14ac:dyDescent="0.2">
      <c r="A41" t="str">
        <f>""</f>
        <v/>
      </c>
      <c r="B41" t="str">
        <f>"(0.821)"</f>
        <v>(0.821)</v>
      </c>
      <c r="C41" t="str">
        <f>"(0.661)"</f>
        <v>(0.661)</v>
      </c>
      <c r="D41" t="str">
        <f>"(0.924)"</f>
        <v>(0.924)</v>
      </c>
      <c r="E41" t="str">
        <f>"(0.269)"</f>
        <v>(0.269)</v>
      </c>
      <c r="H41" t="str">
        <f>""</f>
        <v/>
      </c>
      <c r="I41" t="str">
        <f>"(0.047)"</f>
        <v>(0.047)</v>
      </c>
      <c r="J41" t="str">
        <f>"(0.034)"</f>
        <v>(0.034)</v>
      </c>
      <c r="K41" t="str">
        <f>"(0.056)"</f>
        <v>(0.056)</v>
      </c>
      <c r="L41" t="str">
        <f>"(0.032)"</f>
        <v>(0.032)</v>
      </c>
    </row>
    <row r="43" spans="1:12" x14ac:dyDescent="0.2">
      <c r="A43" t="str">
        <f>"Observations"</f>
        <v>Observations</v>
      </c>
      <c r="B43" t="str">
        <f>"826"</f>
        <v>826</v>
      </c>
      <c r="C43" t="str">
        <f>"826"</f>
        <v>826</v>
      </c>
      <c r="D43" t="str">
        <f>"826"</f>
        <v>826</v>
      </c>
      <c r="E43" t="str">
        <f>"826"</f>
        <v>826</v>
      </c>
      <c r="H43" t="str">
        <f>"Observations"</f>
        <v>Observations</v>
      </c>
      <c r="I43" t="str">
        <f>"37762"</f>
        <v>37762</v>
      </c>
      <c r="J43" t="str">
        <f>"37762"</f>
        <v>37762</v>
      </c>
      <c r="K43" t="str">
        <f>"37762"</f>
        <v>37762</v>
      </c>
      <c r="L43" t="str">
        <f>"37762"</f>
        <v>37762</v>
      </c>
    </row>
    <row r="44" spans="1:12" x14ac:dyDescent="0.2">
      <c r="A44" t="str">
        <f>"Adjusted R-squared"</f>
        <v>Adjusted R-squared</v>
      </c>
      <c r="B44" t="str">
        <f>"0.417"</f>
        <v>0.417</v>
      </c>
      <c r="C44" t="str">
        <f>"0.352"</f>
        <v>0.352</v>
      </c>
      <c r="D44" t="str">
        <f>"0.402"</f>
        <v>0.402</v>
      </c>
      <c r="E44" t="str">
        <f>"0.422"</f>
        <v>0.422</v>
      </c>
      <c r="H44" t="str">
        <f>"Adjusted R-squared"</f>
        <v>Adjusted R-squared</v>
      </c>
      <c r="I44" t="str">
        <f>"0.333"</f>
        <v>0.333</v>
      </c>
      <c r="J44" t="str">
        <f>"0.097"</f>
        <v>0.097</v>
      </c>
      <c r="K44" t="str">
        <f>"0.233"</f>
        <v>0.233</v>
      </c>
      <c r="L44" t="str">
        <f>"0.406"</f>
        <v>0.406</v>
      </c>
    </row>
    <row r="46" spans="1:12" x14ac:dyDescent="0.2">
      <c r="A46" t="str">
        <f>"Standard errors in parentheses"</f>
        <v>Standard errors in parentheses</v>
      </c>
      <c r="H46" t="str">
        <f>"Standard errors in parentheses"</f>
        <v>Standard errors in parentheses</v>
      </c>
    </row>
    <row r="47" spans="1:12" x14ac:dyDescent="0.2">
      <c r="A47" t="s">
        <v>0</v>
      </c>
      <c r="B47" t="s">
        <v>1</v>
      </c>
      <c r="C47" t="s">
        <v>2</v>
      </c>
      <c r="H47" t="s">
        <v>0</v>
      </c>
      <c r="I47" t="s">
        <v>1</v>
      </c>
      <c r="J47" t="s">
        <v>2</v>
      </c>
    </row>
  </sheetData>
  <mergeCells count="2">
    <mergeCell ref="A3:E3"/>
    <mergeCell ref="H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C4F2-DEB1-5243-AADE-ADEE7954FBE4}">
  <dimension ref="A3:I68"/>
  <sheetViews>
    <sheetView workbookViewId="0">
      <selection activeCell="K12" sqref="K12"/>
    </sheetView>
  </sheetViews>
  <sheetFormatPr baseColWidth="10" defaultRowHeight="16" x14ac:dyDescent="0.2"/>
  <sheetData>
    <row r="3" spans="1:9" x14ac:dyDescent="0.2">
      <c r="A3" s="1" t="s">
        <v>3</v>
      </c>
      <c r="B3" s="1"/>
      <c r="C3" s="1"/>
      <c r="D3" s="1"/>
      <c r="F3" s="1" t="s">
        <v>4</v>
      </c>
      <c r="G3" s="1"/>
      <c r="H3" s="1"/>
      <c r="I3" s="1"/>
    </row>
    <row r="4" spans="1:9" x14ac:dyDescent="0.2">
      <c r="A4" t="str">
        <f>""</f>
        <v/>
      </c>
      <c r="B4" t="str">
        <f>"(1)"</f>
        <v>(1)</v>
      </c>
      <c r="C4" t="str">
        <f>"(2)"</f>
        <v>(2)</v>
      </c>
      <c r="D4" t="str">
        <f>"(3)"</f>
        <v>(3)</v>
      </c>
      <c r="F4" t="str">
        <f>""</f>
        <v/>
      </c>
      <c r="G4" t="str">
        <f>"(1)"</f>
        <v>(1)</v>
      </c>
      <c r="H4" t="str">
        <f>"(2)"</f>
        <v>(2)</v>
      </c>
      <c r="I4" t="str">
        <f>"(3)"</f>
        <v>(3)</v>
      </c>
    </row>
    <row r="5" spans="1:9" x14ac:dyDescent="0.2">
      <c r="A5" t="str">
        <f>""</f>
        <v/>
      </c>
      <c r="B5" t="str">
        <f>"unskill_manual"</f>
        <v>unskill_manual</v>
      </c>
      <c r="C5" t="str">
        <f>"skill_manual"</f>
        <v>skill_manual</v>
      </c>
      <c r="D5" t="str">
        <f>"agr_self_employed"</f>
        <v>agr_self_employed</v>
      </c>
      <c r="F5" t="str">
        <f>""</f>
        <v/>
      </c>
      <c r="G5" t="str">
        <f>"unskill_manual"</f>
        <v>unskill_manual</v>
      </c>
      <c r="H5" t="str">
        <f>"skill_manual"</f>
        <v>skill_manual</v>
      </c>
      <c r="I5" t="str">
        <f>"agr_self_employed"</f>
        <v>agr_self_employed</v>
      </c>
    </row>
    <row r="7" spans="1:9" x14ac:dyDescent="0.2">
      <c r="A7" t="str">
        <f>"past_group"</f>
        <v>past_group</v>
      </c>
      <c r="B7" t="str">
        <f>"-0.392***"</f>
        <v>-0.392***</v>
      </c>
      <c r="C7" t="str">
        <f>"-0.252*"</f>
        <v>-0.252*</v>
      </c>
      <c r="D7" t="str">
        <f>"-0.000"</f>
        <v>-0.000</v>
      </c>
      <c r="F7" t="str">
        <f>"past_group"</f>
        <v>past_group</v>
      </c>
      <c r="G7" t="str">
        <f>"-0.172***"</f>
        <v>-0.172***</v>
      </c>
      <c r="H7" t="str">
        <f>"-0.015"</f>
        <v>-0.015</v>
      </c>
      <c r="I7" t="str">
        <f>"-0.031"</f>
        <v>-0.031</v>
      </c>
    </row>
    <row r="8" spans="1:9" x14ac:dyDescent="0.2">
      <c r="A8" t="str">
        <f>""</f>
        <v/>
      </c>
      <c r="B8" t="str">
        <f>"(0.111)"</f>
        <v>(0.111)</v>
      </c>
      <c r="C8" t="str">
        <f>"(0.138)"</f>
        <v>(0.138)</v>
      </c>
      <c r="D8" t="str">
        <f>"(0.120)"</f>
        <v>(0.120)</v>
      </c>
      <c r="F8" t="str">
        <f>""</f>
        <v/>
      </c>
      <c r="G8" t="str">
        <f>"(0.013)"</f>
        <v>(0.013)</v>
      </c>
      <c r="H8" t="str">
        <f>"(0.031)"</f>
        <v>(0.031)</v>
      </c>
      <c r="I8" t="str">
        <f>"(0.025)"</f>
        <v>(0.025)</v>
      </c>
    </row>
    <row r="10" spans="1:9" x14ac:dyDescent="0.2">
      <c r="A10" t="str">
        <f>"TC_noborder"</f>
        <v>TC_noborder</v>
      </c>
      <c r="B10" t="str">
        <f>"0.437***"</f>
        <v>0.437***</v>
      </c>
      <c r="C10" t="str">
        <f>"0.215***"</f>
        <v>0.215***</v>
      </c>
      <c r="D10" t="str">
        <f>"0.146*"</f>
        <v>0.146*</v>
      </c>
      <c r="F10" t="str">
        <f>"TC_noborder"</f>
        <v>TC_noborder</v>
      </c>
      <c r="G10" t="str">
        <f>"0.301***"</f>
        <v>0.301***</v>
      </c>
      <c r="H10" t="str">
        <f>"0.171***"</f>
        <v>0.171***</v>
      </c>
      <c r="I10" t="str">
        <f>"0.004"</f>
        <v>0.004</v>
      </c>
    </row>
    <row r="11" spans="1:9" x14ac:dyDescent="0.2">
      <c r="A11" t="str">
        <f>""</f>
        <v/>
      </c>
      <c r="B11" t="str">
        <f>"(0.064)"</f>
        <v>(0.064)</v>
      </c>
      <c r="C11" t="str">
        <f>"(0.077)"</f>
        <v>(0.077)</v>
      </c>
      <c r="D11" t="str">
        <f>"(0.083)"</f>
        <v>(0.083)</v>
      </c>
      <c r="F11" t="str">
        <f>""</f>
        <v/>
      </c>
      <c r="G11" t="str">
        <f>"(0.012)"</f>
        <v>(0.012)</v>
      </c>
      <c r="H11" t="str">
        <f>"(0.017)"</f>
        <v>(0.017)</v>
      </c>
      <c r="I11" t="str">
        <f>"(0.028)"</f>
        <v>(0.028)</v>
      </c>
    </row>
    <row r="13" spans="1:9" x14ac:dyDescent="0.2">
      <c r="A13" t="str">
        <f>"Poorest"</f>
        <v>Poorest</v>
      </c>
      <c r="B13" t="str">
        <f>"0.112"</f>
        <v>0.112</v>
      </c>
      <c r="C13" t="str">
        <f>"0.029"</f>
        <v>0.029</v>
      </c>
      <c r="D13" t="str">
        <f>"0.266***"</f>
        <v>0.266***</v>
      </c>
      <c r="F13" t="str">
        <f>"Poorest"</f>
        <v>Poorest</v>
      </c>
      <c r="G13" t="str">
        <f>"0.015"</f>
        <v>0.015</v>
      </c>
      <c r="H13" t="str">
        <f>"0.013"</f>
        <v>0.013</v>
      </c>
      <c r="I13" t="str">
        <f>"0.252***"</f>
        <v>0.252***</v>
      </c>
    </row>
    <row r="14" spans="1:9" x14ac:dyDescent="0.2">
      <c r="A14" t="str">
        <f>""</f>
        <v/>
      </c>
      <c r="B14" t="str">
        <f>"(0.109)"</f>
        <v>(0.109)</v>
      </c>
      <c r="C14" t="str">
        <f>"(0.116)"</f>
        <v>(0.116)</v>
      </c>
      <c r="D14" t="str">
        <f>"(0.098)"</f>
        <v>(0.098)</v>
      </c>
      <c r="F14" t="str">
        <f>""</f>
        <v/>
      </c>
      <c r="G14" t="str">
        <f>"(0.011)"</f>
        <v>(0.011)</v>
      </c>
      <c r="H14" t="str">
        <f>"(0.015)"</f>
        <v>(0.015)</v>
      </c>
      <c r="I14" t="str">
        <f>"(0.019)"</f>
        <v>(0.019)</v>
      </c>
    </row>
    <row r="16" spans="1:9" x14ac:dyDescent="0.2">
      <c r="A16" t="str">
        <f>"Poorer"</f>
        <v>Poorer</v>
      </c>
      <c r="B16" t="str">
        <f>"0.027"</f>
        <v>0.027</v>
      </c>
      <c r="C16" t="str">
        <f>"0.009"</f>
        <v>0.009</v>
      </c>
      <c r="D16" t="str">
        <f>"0.183*"</f>
        <v>0.183*</v>
      </c>
      <c r="F16" t="str">
        <f>"Poorer"</f>
        <v>Poorer</v>
      </c>
      <c r="G16" t="str">
        <f>"0.010"</f>
        <v>0.010</v>
      </c>
      <c r="H16" t="str">
        <f>"0.012"</f>
        <v>0.012</v>
      </c>
      <c r="I16" t="str">
        <f>"0.208***"</f>
        <v>0.208***</v>
      </c>
    </row>
    <row r="17" spans="1:9" x14ac:dyDescent="0.2">
      <c r="A17" t="str">
        <f>""</f>
        <v/>
      </c>
      <c r="B17" t="str">
        <f>"(0.104)"</f>
        <v>(0.104)</v>
      </c>
      <c r="C17" t="str">
        <f>"(0.121)"</f>
        <v>(0.121)</v>
      </c>
      <c r="D17" t="str">
        <f>"(0.097)"</f>
        <v>(0.097)</v>
      </c>
      <c r="F17" t="str">
        <f>""</f>
        <v/>
      </c>
      <c r="G17" t="str">
        <f>"(0.010)"</f>
        <v>(0.010)</v>
      </c>
      <c r="H17" t="str">
        <f>"(0.014)"</f>
        <v>(0.014)</v>
      </c>
      <c r="I17" t="str">
        <f>"(0.019)"</f>
        <v>(0.019)</v>
      </c>
    </row>
    <row r="19" spans="1:9" x14ac:dyDescent="0.2">
      <c r="A19" t="str">
        <f>"Middle"</f>
        <v>Middle</v>
      </c>
      <c r="B19" t="str">
        <f>"-0.004"</f>
        <v>-0.004</v>
      </c>
      <c r="C19" t="str">
        <f>"-0.039"</f>
        <v>-0.039</v>
      </c>
      <c r="D19" t="str">
        <f>"0.126"</f>
        <v>0.126</v>
      </c>
      <c r="F19" t="str">
        <f>"Middle"</f>
        <v>Middle</v>
      </c>
      <c r="G19" t="str">
        <f>"0.014"</f>
        <v>0.014</v>
      </c>
      <c r="H19" t="str">
        <f>"0.005"</f>
        <v>0.005</v>
      </c>
      <c r="I19" t="str">
        <f>"0.148***"</f>
        <v>0.148***</v>
      </c>
    </row>
    <row r="20" spans="1:9" x14ac:dyDescent="0.2">
      <c r="A20" t="str">
        <f>""</f>
        <v/>
      </c>
      <c r="B20" t="str">
        <f>"(0.105)"</f>
        <v>(0.105)</v>
      </c>
      <c r="C20" t="str">
        <f>"(0.122)"</f>
        <v>(0.122)</v>
      </c>
      <c r="D20" t="str">
        <f>"(0.098)"</f>
        <v>(0.098)</v>
      </c>
      <c r="F20" t="str">
        <f>""</f>
        <v/>
      </c>
      <c r="G20" t="str">
        <f>"(0.010)"</f>
        <v>(0.010)</v>
      </c>
      <c r="H20" t="str">
        <f>"(0.013)"</f>
        <v>(0.013)</v>
      </c>
      <c r="I20" t="str">
        <f>"(0.017)"</f>
        <v>(0.017)</v>
      </c>
    </row>
    <row r="22" spans="1:9" x14ac:dyDescent="0.2">
      <c r="A22" t="str">
        <f>"Richer"</f>
        <v>Richer</v>
      </c>
      <c r="B22" t="str">
        <f>"0.021"</f>
        <v>0.021</v>
      </c>
      <c r="C22" t="str">
        <f>"-0.041"</f>
        <v>-0.041</v>
      </c>
      <c r="D22" t="str">
        <f>"0.013"</f>
        <v>0.013</v>
      </c>
      <c r="F22" t="str">
        <f>"Richer"</f>
        <v>Richer</v>
      </c>
      <c r="G22" t="str">
        <f>"0.006"</f>
        <v>0.006</v>
      </c>
      <c r="H22" t="str">
        <f>"0.008"</f>
        <v>0.008</v>
      </c>
      <c r="I22" t="str">
        <f>"0.077***"</f>
        <v>0.077***</v>
      </c>
    </row>
    <row r="23" spans="1:9" x14ac:dyDescent="0.2">
      <c r="A23" t="str">
        <f>""</f>
        <v/>
      </c>
      <c r="B23" t="str">
        <f>"(0.110)"</f>
        <v>(0.110)</v>
      </c>
      <c r="C23" t="str">
        <f>"(0.128)"</f>
        <v>(0.128)</v>
      </c>
      <c r="D23" t="str">
        <f>"(0.104)"</f>
        <v>(0.104)</v>
      </c>
      <c r="F23" t="str">
        <f>""</f>
        <v/>
      </c>
      <c r="G23" t="str">
        <f>"(0.008)"</f>
        <v>(0.008)</v>
      </c>
      <c r="H23" t="str">
        <f>"(0.011)"</f>
        <v>(0.011)</v>
      </c>
      <c r="I23" t="str">
        <f>"(0.012)"</f>
        <v>(0.012)</v>
      </c>
    </row>
    <row r="25" spans="1:9" x14ac:dyDescent="0.2">
      <c r="A25" t="str">
        <f>"Respondent_work"</f>
        <v>Respondent_work</v>
      </c>
      <c r="B25" t="str">
        <f>"0.066"</f>
        <v>0.066</v>
      </c>
      <c r="C25" t="str">
        <f>"-0.044"</f>
        <v>-0.044</v>
      </c>
      <c r="D25" t="str">
        <f>"0.084"</f>
        <v>0.084</v>
      </c>
      <c r="F25" t="str">
        <f>"Respondent_work"</f>
        <v>Respondent_work</v>
      </c>
      <c r="G25" t="str">
        <f>"0.004"</f>
        <v>0.004</v>
      </c>
      <c r="H25" t="str">
        <f>"0.023***"</f>
        <v>0.023***</v>
      </c>
      <c r="I25" t="str">
        <f>"0.061***"</f>
        <v>0.061***</v>
      </c>
    </row>
    <row r="26" spans="1:9" x14ac:dyDescent="0.2">
      <c r="A26" t="str">
        <f>""</f>
        <v/>
      </c>
      <c r="B26" t="str">
        <f>"(0.068)"</f>
        <v>(0.068)</v>
      </c>
      <c r="C26" t="str">
        <f>"(0.084)"</f>
        <v>(0.084)</v>
      </c>
      <c r="D26" t="str">
        <f>"(0.096)"</f>
        <v>(0.096)</v>
      </c>
      <c r="F26" t="str">
        <f>""</f>
        <v/>
      </c>
      <c r="G26" t="str">
        <f>"(0.005)"</f>
        <v>(0.005)</v>
      </c>
      <c r="H26" t="str">
        <f>"(0.008)"</f>
        <v>(0.008)</v>
      </c>
      <c r="I26" t="str">
        <f>"(0.008)"</f>
        <v>(0.008)</v>
      </c>
    </row>
    <row r="28" spans="1:9" x14ac:dyDescent="0.2">
      <c r="A28" t="str">
        <f>"no_edu"</f>
        <v>no_edu</v>
      </c>
      <c r="B28" t="str">
        <f>"-0.067"</f>
        <v>-0.067</v>
      </c>
      <c r="C28" t="str">
        <f>"0.366***"</f>
        <v>0.366***</v>
      </c>
      <c r="D28" t="str">
        <f>"0.213"</f>
        <v>0.213</v>
      </c>
      <c r="F28" t="str">
        <f>"no_edu"</f>
        <v>no_edu</v>
      </c>
      <c r="G28" t="str">
        <f>"-0.009"</f>
        <v>-0.009</v>
      </c>
      <c r="H28" t="str">
        <f>"0.003"</f>
        <v>0.003</v>
      </c>
      <c r="I28" t="str">
        <f>"0.028**"</f>
        <v>0.028**</v>
      </c>
    </row>
    <row r="29" spans="1:9" x14ac:dyDescent="0.2">
      <c r="A29" t="str">
        <f>""</f>
        <v/>
      </c>
      <c r="B29" t="str">
        <f>"(0.212)"</f>
        <v>(0.212)</v>
      </c>
      <c r="C29" t="str">
        <f>"(0.116)"</f>
        <v>(0.116)</v>
      </c>
      <c r="D29" t="str">
        <f>"(0.149)"</f>
        <v>(0.149)</v>
      </c>
      <c r="F29" t="str">
        <f>""</f>
        <v/>
      </c>
      <c r="G29" t="str">
        <f>"(0.009)"</f>
        <v>(0.009)</v>
      </c>
      <c r="H29" t="str">
        <f>"(0.013)"</f>
        <v>(0.013)</v>
      </c>
      <c r="I29" t="str">
        <f>"(0.013)"</f>
        <v>(0.013)</v>
      </c>
    </row>
    <row r="31" spans="1:9" x14ac:dyDescent="0.2">
      <c r="A31" t="str">
        <f>"primary_edu"</f>
        <v>primary_edu</v>
      </c>
      <c r="B31" t="str">
        <f>"-0.066"</f>
        <v>-0.066</v>
      </c>
      <c r="C31" t="str">
        <f>"0.264**"</f>
        <v>0.264**</v>
      </c>
      <c r="D31" t="str">
        <f>"0.113"</f>
        <v>0.113</v>
      </c>
      <c r="F31" t="str">
        <f>"primary_edu"</f>
        <v>primary_edu</v>
      </c>
      <c r="G31" t="str">
        <f>"-0.002"</f>
        <v>-0.002</v>
      </c>
      <c r="H31" t="str">
        <f>"0.013"</f>
        <v>0.013</v>
      </c>
      <c r="I31" t="str">
        <f>"-0.015"</f>
        <v>-0.015</v>
      </c>
    </row>
    <row r="32" spans="1:9" x14ac:dyDescent="0.2">
      <c r="A32" t="str">
        <f>""</f>
        <v/>
      </c>
      <c r="B32" t="str">
        <f>"(0.215)"</f>
        <v>(0.215)</v>
      </c>
      <c r="C32" t="str">
        <f>"(0.125)"</f>
        <v>(0.125)</v>
      </c>
      <c r="D32" t="str">
        <f>"(0.147)"</f>
        <v>(0.147)</v>
      </c>
      <c r="F32" t="str">
        <f>""</f>
        <v/>
      </c>
      <c r="G32" t="str">
        <f>"(0.009)"</f>
        <v>(0.009)</v>
      </c>
      <c r="H32" t="str">
        <f>"(0.014)"</f>
        <v>(0.014)</v>
      </c>
      <c r="I32" t="str">
        <f>"(0.013)"</f>
        <v>(0.013)</v>
      </c>
    </row>
    <row r="34" spans="1:9" x14ac:dyDescent="0.2">
      <c r="A34" t="str">
        <f>"secondary_edu"</f>
        <v>secondary_edu</v>
      </c>
      <c r="B34" t="str">
        <f>"-0.032"</f>
        <v>-0.032</v>
      </c>
      <c r="C34" t="str">
        <f>"0.289**"</f>
        <v>0.289**</v>
      </c>
      <c r="D34" t="str">
        <f>"0.164"</f>
        <v>0.164</v>
      </c>
      <c r="F34" t="str">
        <f>"secondary_edu"</f>
        <v>secondary_edu</v>
      </c>
      <c r="G34" t="str">
        <f>"-0.003"</f>
        <v>-0.003</v>
      </c>
      <c r="H34" t="str">
        <f>"0.008"</f>
        <v>0.008</v>
      </c>
      <c r="I34" t="str">
        <f>"-0.009"</f>
        <v>-0.009</v>
      </c>
    </row>
    <row r="35" spans="1:9" x14ac:dyDescent="0.2">
      <c r="A35" t="str">
        <f>""</f>
        <v/>
      </c>
      <c r="B35" t="str">
        <f>"(0.209)"</f>
        <v>(0.209)</v>
      </c>
      <c r="C35" t="str">
        <f>"(0.117)"</f>
        <v>(0.117)</v>
      </c>
      <c r="D35" t="str">
        <f>"(0.138)"</f>
        <v>(0.138)</v>
      </c>
      <c r="F35" t="str">
        <f>""</f>
        <v/>
      </c>
      <c r="G35" t="str">
        <f>"(0.007)"</f>
        <v>(0.007)</v>
      </c>
      <c r="H35" t="str">
        <f>"(0.010)"</f>
        <v>(0.010)</v>
      </c>
      <c r="I35" t="str">
        <f>"(0.010)"</f>
        <v>(0.010)</v>
      </c>
    </row>
    <row r="37" spans="1:9" x14ac:dyDescent="0.2">
      <c r="A37" t="str">
        <f>"Res_age"</f>
        <v>Res_age</v>
      </c>
      <c r="B37" t="str">
        <f>"0.010"</f>
        <v>0.010</v>
      </c>
      <c r="C37" t="str">
        <f>"-0.048"</f>
        <v>-0.048</v>
      </c>
      <c r="D37" t="str">
        <f>"-0.073**"</f>
        <v>-0.073**</v>
      </c>
      <c r="F37" t="str">
        <f>"Res_age"</f>
        <v>Res_age</v>
      </c>
      <c r="G37" t="str">
        <f>"-0.026***"</f>
        <v>-0.026***</v>
      </c>
      <c r="H37" t="str">
        <f>"-0.001"</f>
        <v>-0.001</v>
      </c>
      <c r="I37" t="str">
        <f>"-0.023***"</f>
        <v>-0.023***</v>
      </c>
    </row>
    <row r="38" spans="1:9" x14ac:dyDescent="0.2">
      <c r="A38" t="str">
        <f>""</f>
        <v/>
      </c>
      <c r="B38" t="str">
        <f>"(0.023)"</f>
        <v>(0.023)</v>
      </c>
      <c r="C38" t="str">
        <f>"(0.042)"</f>
        <v>(0.042)</v>
      </c>
      <c r="D38" t="str">
        <f>"(0.034)"</f>
        <v>(0.034)</v>
      </c>
      <c r="F38" t="str">
        <f>""</f>
        <v/>
      </c>
      <c r="G38" t="str">
        <f>"(0.001)"</f>
        <v>(0.001)</v>
      </c>
      <c r="H38" t="str">
        <f>"(0.002)"</f>
        <v>(0.002)</v>
      </c>
      <c r="I38" t="str">
        <f>"(0.003)"</f>
        <v>(0.003)</v>
      </c>
    </row>
    <row r="40" spans="1:9" x14ac:dyDescent="0.2">
      <c r="A40" t="str">
        <f>"Husband_work"</f>
        <v>Husband_work</v>
      </c>
      <c r="B40" t="str">
        <f>"-0.064"</f>
        <v>-0.064</v>
      </c>
      <c r="C40" t="str">
        <f>"0.016"</f>
        <v>0.016</v>
      </c>
      <c r="D40" t="str">
        <f>"-0.088"</f>
        <v>-0.088</v>
      </c>
      <c r="F40" t="str">
        <f>"Husband_work"</f>
        <v>Husband_work</v>
      </c>
      <c r="G40" t="str">
        <f>"-0.003"</f>
        <v>-0.003</v>
      </c>
      <c r="H40" t="str">
        <f>"0.007"</f>
        <v>0.007</v>
      </c>
      <c r="I40" t="str">
        <f>"0.005"</f>
        <v>0.005</v>
      </c>
    </row>
    <row r="41" spans="1:9" x14ac:dyDescent="0.2">
      <c r="A41" t="str">
        <f>""</f>
        <v/>
      </c>
      <c r="B41" t="str">
        <f>"(0.096)"</f>
        <v>(0.096)</v>
      </c>
      <c r="C41" t="str">
        <f>"(0.105)"</f>
        <v>(0.105)</v>
      </c>
      <c r="D41" t="str">
        <f>"(0.120)"</f>
        <v>(0.120)</v>
      </c>
      <c r="F41" t="str">
        <f>""</f>
        <v/>
      </c>
      <c r="G41" t="str">
        <f>"(0.017)"</f>
        <v>(0.017)</v>
      </c>
      <c r="H41" t="str">
        <f>"(0.017)"</f>
        <v>(0.017)</v>
      </c>
      <c r="I41" t="str">
        <f>"(0.018)"</f>
        <v>(0.018)</v>
      </c>
    </row>
    <row r="43" spans="1:9" x14ac:dyDescent="0.2">
      <c r="A43" t="str">
        <f>"Husband_no_education"</f>
        <v>Husband_no_education</v>
      </c>
      <c r="B43" t="str">
        <f>"0.122*"</f>
        <v>0.122*</v>
      </c>
      <c r="C43" t="str">
        <f>"-0.047"</f>
        <v>-0.047</v>
      </c>
      <c r="D43" t="str">
        <f>"0.058"</f>
        <v>0.058</v>
      </c>
      <c r="F43" t="str">
        <f>"Husband_no_education"</f>
        <v>Husband_no_education</v>
      </c>
      <c r="G43" t="str">
        <f>"-0.001"</f>
        <v>-0.001</v>
      </c>
      <c r="H43" t="str">
        <f>"0.000"</f>
        <v>0.000</v>
      </c>
      <c r="I43" t="str">
        <f>"-0.034***"</f>
        <v>-0.034***</v>
      </c>
    </row>
    <row r="44" spans="1:9" x14ac:dyDescent="0.2">
      <c r="A44" t="str">
        <f>""</f>
        <v/>
      </c>
      <c r="B44" t="str">
        <f>"(0.074)"</f>
        <v>(0.074)</v>
      </c>
      <c r="C44" t="str">
        <f>"(0.101)"</f>
        <v>(0.101)</v>
      </c>
      <c r="D44" t="str">
        <f>"(0.093)"</f>
        <v>(0.093)</v>
      </c>
      <c r="F44" t="str">
        <f>""</f>
        <v/>
      </c>
      <c r="G44" t="str">
        <f>"(0.008)"</f>
        <v>(0.008)</v>
      </c>
      <c r="H44" t="str">
        <f>"(0.012)"</f>
        <v>(0.012)</v>
      </c>
      <c r="I44" t="str">
        <f>"(0.012)"</f>
        <v>(0.012)</v>
      </c>
    </row>
    <row r="46" spans="1:9" x14ac:dyDescent="0.2">
      <c r="A46" t="str">
        <f>"Husband_primary"</f>
        <v>Husband_primary</v>
      </c>
      <c r="B46" t="str">
        <f>"0.093"</f>
        <v>0.093</v>
      </c>
      <c r="C46" t="str">
        <f>"-0.056"</f>
        <v>-0.056</v>
      </c>
      <c r="D46" t="str">
        <f>"0.182**"</f>
        <v>0.182**</v>
      </c>
      <c r="F46" t="str">
        <f>"Husband_primary"</f>
        <v>Husband_primary</v>
      </c>
      <c r="G46" t="str">
        <f>"-0.001"</f>
        <v>-0.001</v>
      </c>
      <c r="H46" t="str">
        <f>"-0.001"</f>
        <v>-0.001</v>
      </c>
      <c r="I46" t="str">
        <f>"-0.029***"</f>
        <v>-0.029***</v>
      </c>
    </row>
    <row r="47" spans="1:9" x14ac:dyDescent="0.2">
      <c r="A47" t="str">
        <f>""</f>
        <v/>
      </c>
      <c r="B47" t="str">
        <f>"(0.081)"</f>
        <v>(0.081)</v>
      </c>
      <c r="C47" t="str">
        <f>"(0.093)"</f>
        <v>(0.093)</v>
      </c>
      <c r="D47" t="str">
        <f>"(0.092)"</f>
        <v>(0.092)</v>
      </c>
      <c r="F47" t="str">
        <f>""</f>
        <v/>
      </c>
      <c r="G47" t="str">
        <f>"(0.008)"</f>
        <v>(0.008)</v>
      </c>
      <c r="H47" t="str">
        <f>"(0.011)"</f>
        <v>(0.011)</v>
      </c>
      <c r="I47" t="str">
        <f>"(0.011)"</f>
        <v>(0.011)</v>
      </c>
    </row>
    <row r="49" spans="1:9" x14ac:dyDescent="0.2">
      <c r="A49" t="str">
        <f>"Husband_secondary"</f>
        <v>Husband_secondary</v>
      </c>
      <c r="B49" t="str">
        <f>"0.091"</f>
        <v>0.091</v>
      </c>
      <c r="C49" t="str">
        <f>"-0.064"</f>
        <v>-0.064</v>
      </c>
      <c r="D49" t="str">
        <f>"0.093"</f>
        <v>0.093</v>
      </c>
      <c r="F49" t="str">
        <f>"Husband_secondary"</f>
        <v>Husband_secondary</v>
      </c>
      <c r="G49" t="str">
        <f>"-0.002"</f>
        <v>-0.002</v>
      </c>
      <c r="H49" t="str">
        <f>"0.008"</f>
        <v>0.008</v>
      </c>
      <c r="I49" t="str">
        <f>"-0.014*"</f>
        <v>-0.014*</v>
      </c>
    </row>
    <row r="50" spans="1:9" x14ac:dyDescent="0.2">
      <c r="A50" t="str">
        <f>""</f>
        <v/>
      </c>
      <c r="B50" t="str">
        <f>"(0.068)"</f>
        <v>(0.068)</v>
      </c>
      <c r="C50" t="str">
        <f>"(0.086)"</f>
        <v>(0.086)</v>
      </c>
      <c r="D50" t="str">
        <f>"(0.075)"</f>
        <v>(0.075)</v>
      </c>
      <c r="F50" t="str">
        <f>""</f>
        <v/>
      </c>
      <c r="G50" t="str">
        <f>"(0.006)"</f>
        <v>(0.006)</v>
      </c>
      <c r="H50" t="str">
        <f>"(0.009)"</f>
        <v>(0.009)</v>
      </c>
      <c r="I50" t="str">
        <f>"(0.008)"</f>
        <v>(0.008)</v>
      </c>
    </row>
    <row r="52" spans="1:9" x14ac:dyDescent="0.2">
      <c r="A52" t="str">
        <f>"Husband_age"</f>
        <v>Husband_age</v>
      </c>
      <c r="B52" t="str">
        <f>"0.004"</f>
        <v>0.004</v>
      </c>
      <c r="C52" t="str">
        <f>"0.003"</f>
        <v>0.003</v>
      </c>
      <c r="D52" t="str">
        <f>"0.007***"</f>
        <v>0.007***</v>
      </c>
      <c r="F52" t="str">
        <f>"Husband_age"</f>
        <v>Husband_age</v>
      </c>
      <c r="G52" t="str">
        <f>"-0.000"</f>
        <v>-0.000</v>
      </c>
      <c r="H52" t="str">
        <f>"-0.000"</f>
        <v>-0.000</v>
      </c>
      <c r="I52" t="str">
        <f>"0.001*"</f>
        <v>0.001*</v>
      </c>
    </row>
    <row r="53" spans="1:9" x14ac:dyDescent="0.2">
      <c r="A53" t="str">
        <f>""</f>
        <v/>
      </c>
      <c r="B53" t="str">
        <f>"(0.002)"</f>
        <v>(0.002)</v>
      </c>
      <c r="C53" t="str">
        <f>"(0.004)"</f>
        <v>(0.004)</v>
      </c>
      <c r="D53" t="str">
        <f>"(0.003)"</f>
        <v>(0.003)</v>
      </c>
      <c r="F53" t="str">
        <f>""</f>
        <v/>
      </c>
      <c r="G53" t="str">
        <f>"(0.000)"</f>
        <v>(0.000)</v>
      </c>
      <c r="H53" t="str">
        <f>"(0.000)"</f>
        <v>(0.000)</v>
      </c>
      <c r="I53" t="str">
        <f>"(0.000)"</f>
        <v>(0.000)</v>
      </c>
    </row>
    <row r="55" spans="1:9" x14ac:dyDescent="0.2">
      <c r="A55" t="str">
        <f>"Birth_order_number"</f>
        <v>Birth_order_number</v>
      </c>
      <c r="B55" t="str">
        <f>"0.005"</f>
        <v>0.005</v>
      </c>
      <c r="C55" t="str">
        <f>"-0.048*"</f>
        <v>-0.048*</v>
      </c>
      <c r="D55" t="str">
        <f>"-0.042"</f>
        <v>-0.042</v>
      </c>
      <c r="F55" t="str">
        <f>"Birth_order_number"</f>
        <v>Birth_order_number</v>
      </c>
      <c r="G55" t="str">
        <f>"0.003"</f>
        <v>0.003</v>
      </c>
      <c r="H55" t="str">
        <f>"-0.001"</f>
        <v>-0.001</v>
      </c>
      <c r="I55" t="str">
        <f>"0.005**"</f>
        <v>0.005**</v>
      </c>
    </row>
    <row r="56" spans="1:9" x14ac:dyDescent="0.2">
      <c r="A56" t="str">
        <f>""</f>
        <v/>
      </c>
      <c r="B56" t="str">
        <f>"(0.037)"</f>
        <v>(0.037)</v>
      </c>
      <c r="C56" t="str">
        <f>"(0.029)"</f>
        <v>(0.029)</v>
      </c>
      <c r="D56" t="str">
        <f>"(0.032)"</f>
        <v>(0.032)</v>
      </c>
      <c r="F56" t="str">
        <f>""</f>
        <v/>
      </c>
      <c r="G56" t="str">
        <f>"(0.002)"</f>
        <v>(0.002)</v>
      </c>
      <c r="H56" t="str">
        <f>"(0.002)"</f>
        <v>(0.002)</v>
      </c>
      <c r="I56" t="str">
        <f>"(0.002)"</f>
        <v>(0.002)</v>
      </c>
    </row>
    <row r="58" spans="1:9" x14ac:dyDescent="0.2">
      <c r="A58" t="str">
        <f>"Religion"</f>
        <v>Religion</v>
      </c>
      <c r="B58" t="str">
        <f>"0.099*"</f>
        <v>0.099*</v>
      </c>
      <c r="C58" t="str">
        <f>"-0.141"</f>
        <v>-0.141</v>
      </c>
      <c r="D58" t="str">
        <f>"-0.106"</f>
        <v>-0.106</v>
      </c>
      <c r="F58" t="str">
        <f>"Religion"</f>
        <v>Religion</v>
      </c>
      <c r="G58" t="str">
        <f>"0.020*"</f>
        <v>0.020*</v>
      </c>
      <c r="H58" t="str">
        <f>"-0.039**"</f>
        <v>-0.039**</v>
      </c>
      <c r="I58" t="str">
        <f>"-0.086***"</f>
        <v>-0.086***</v>
      </c>
    </row>
    <row r="59" spans="1:9" x14ac:dyDescent="0.2">
      <c r="A59" t="str">
        <f>""</f>
        <v/>
      </c>
      <c r="B59" t="str">
        <f>"(0.057)"</f>
        <v>(0.057)</v>
      </c>
      <c r="C59" t="str">
        <f>"(0.136)"</f>
        <v>(0.136)</v>
      </c>
      <c r="D59" t="str">
        <f>"(0.100)"</f>
        <v>(0.100)</v>
      </c>
      <c r="F59" t="str">
        <f>""</f>
        <v/>
      </c>
      <c r="G59" t="str">
        <f>"(0.011)"</f>
        <v>(0.011)</v>
      </c>
      <c r="H59" t="str">
        <f>"(0.016)"</f>
        <v>(0.016)</v>
      </c>
      <c r="I59" t="str">
        <f>"(0.017)"</f>
        <v>(0.017)</v>
      </c>
    </row>
    <row r="61" spans="1:9" x14ac:dyDescent="0.2">
      <c r="A61" t="str">
        <f>"Constant"</f>
        <v>Constant</v>
      </c>
      <c r="B61" t="str">
        <f>"-0.353"</f>
        <v>-0.353</v>
      </c>
      <c r="C61" t="str">
        <f>"0.901"</f>
        <v>0.901</v>
      </c>
      <c r="D61" t="str">
        <f>"1.216*"</f>
        <v>1.216*</v>
      </c>
      <c r="F61" t="str">
        <f>"Constant"</f>
        <v>Constant</v>
      </c>
      <c r="G61" t="str">
        <f>"0.769***"</f>
        <v>0.769***</v>
      </c>
      <c r="H61" t="str">
        <f>"0.248***"</f>
        <v>0.248***</v>
      </c>
      <c r="I61" t="str">
        <f>"0.889***"</f>
        <v>0.889***</v>
      </c>
    </row>
    <row r="62" spans="1:9" x14ac:dyDescent="0.2">
      <c r="A62" t="str">
        <f>""</f>
        <v/>
      </c>
      <c r="B62" t="str">
        <f>"(0.509)"</f>
        <v>(0.509)</v>
      </c>
      <c r="C62" t="str">
        <f>"(0.844)"</f>
        <v>(0.844)</v>
      </c>
      <c r="D62" t="str">
        <f>"(0.654)"</f>
        <v>(0.654)</v>
      </c>
      <c r="F62" t="str">
        <f>""</f>
        <v/>
      </c>
      <c r="G62" t="str">
        <f>"(0.043)"</f>
        <v>(0.043)</v>
      </c>
      <c r="H62" t="str">
        <f>"(0.057)"</f>
        <v>(0.057)</v>
      </c>
      <c r="I62" t="str">
        <f>"(0.096)"</f>
        <v>(0.096)</v>
      </c>
    </row>
    <row r="64" spans="1:9" x14ac:dyDescent="0.2">
      <c r="A64" t="str">
        <f>"Observations"</f>
        <v>Observations</v>
      </c>
      <c r="B64" t="str">
        <f>"826"</f>
        <v>826</v>
      </c>
      <c r="C64" t="str">
        <f>"826"</f>
        <v>826</v>
      </c>
      <c r="D64" t="str">
        <f>"826"</f>
        <v>826</v>
      </c>
      <c r="F64" t="str">
        <f>"Observations"</f>
        <v>Observations</v>
      </c>
      <c r="G64" t="str">
        <f>"37762"</f>
        <v>37762</v>
      </c>
      <c r="H64" t="str">
        <f>"37762"</f>
        <v>37762</v>
      </c>
      <c r="I64" t="str">
        <f>"37762"</f>
        <v>37762</v>
      </c>
    </row>
    <row r="65" spans="1:9" x14ac:dyDescent="0.2">
      <c r="A65" t="str">
        <f>"Adjusted R-squared"</f>
        <v>Adjusted R-squared</v>
      </c>
      <c r="B65" t="str">
        <f>"0.508"</f>
        <v>0.508</v>
      </c>
      <c r="C65" t="str">
        <f>"0.284"</f>
        <v>0.284</v>
      </c>
      <c r="D65" t="str">
        <f>"0.496"</f>
        <v>0.496</v>
      </c>
      <c r="F65" t="str">
        <f>"Adjusted R-squared"</f>
        <v>Adjusted R-squared</v>
      </c>
      <c r="G65" t="str">
        <f>"0.379"</f>
        <v>0.379</v>
      </c>
      <c r="H65" t="str">
        <f>"0.181"</f>
        <v>0.181</v>
      </c>
      <c r="I65" t="str">
        <f>"0.367"</f>
        <v>0.367</v>
      </c>
    </row>
    <row r="67" spans="1:9" x14ac:dyDescent="0.2">
      <c r="A67" t="str">
        <f>"Standard errors in parentheses"</f>
        <v>Standard errors in parentheses</v>
      </c>
      <c r="F67" t="str">
        <f>"Standard errors in parentheses"</f>
        <v>Standard errors in parentheses</v>
      </c>
    </row>
    <row r="68" spans="1:9" x14ac:dyDescent="0.2">
      <c r="A68" t="s">
        <v>0</v>
      </c>
      <c r="B68" t="s">
        <v>1</v>
      </c>
      <c r="C68" t="s">
        <v>2</v>
      </c>
      <c r="F68" t="s">
        <v>0</v>
      </c>
      <c r="G68" t="s">
        <v>1</v>
      </c>
      <c r="H68" t="s">
        <v>2</v>
      </c>
    </row>
  </sheetData>
  <mergeCells count="2">
    <mergeCell ref="A3:D3"/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teen_preg_reg_results_all</vt:lpstr>
      <vt:lpstr>Age_first_marriage</vt:lpstr>
      <vt:lpstr>Schooling</vt:lpstr>
      <vt:lpstr>Occupation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Pallab K.</cp:lastModifiedBy>
  <dcterms:created xsi:type="dcterms:W3CDTF">2026-01-09T14:28:58Z</dcterms:created>
  <dcterms:modified xsi:type="dcterms:W3CDTF">2026-01-09T14:28:58Z</dcterms:modified>
</cp:coreProperties>
</file>